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gaturan" state="visible" r:id="rId4"/>
    <sheet sheetId="2" name="Harga Dasar" state="visible" r:id="rId5"/>
    <sheet sheetId="3" name="AHSP" state="visible" r:id="rId6"/>
    <sheet sheetId="4" name="Rekap HSP" state="visible" r:id="rId7"/>
  </sheets>
  <calcPr calcId="171027"/>
</workbook>
</file>

<file path=xl/sharedStrings.xml><?xml version="1.0" encoding="utf-8"?>
<sst xmlns="http://schemas.openxmlformats.org/spreadsheetml/2006/main" count="417" uniqueCount="136">
  <si>
    <t>Pengaturan</t>
  </si>
  <si>
    <t/>
  </si>
  <si>
    <t>Overhead &amp; Profit (%)</t>
  </si>
  <si>
    <t>Ditambahkan ke jumlah harga bahan+upah di tiap AHSP</t>
  </si>
  <si>
    <t>PPN (%)</t>
  </si>
  <si>
    <t>Dipakai di RAB, bukan di HSP</t>
  </si>
  <si>
    <t>PENTING</t>
  </si>
  <si>
    <t>Semua harga dasar adalah CONTOH (kira-kira level Jawa 2024). Wajib diganti dengan harga daerah/proyek.</t>
  </si>
  <si>
    <t>Koefisien berbasis SNI 7394:2008 (tata cara perhitungan harga satuan pekerjaan), ditulis dari ingatan - BELUM dicocokkan baris-per-baris dengan dokumen resmi.</t>
  </si>
  <si>
    <t>Kolom "Keyakinan": tinggi = angka diyakini sesuai SNI; sedang = cek ulang ke dokumen resmi sebelum dipakai di proyek nyata.</t>
  </si>
  <si>
    <t>Font biru = input yang boleh diubah (harga, koefisien, persen). Font hitam = formula.</t>
  </si>
  <si>
    <t>Kode</t>
  </si>
  <si>
    <t>Jenis</t>
  </si>
  <si>
    <t>Nama</t>
  </si>
  <si>
    <t>Satuan</t>
  </si>
  <si>
    <t>Harga Satuan (Rp)</t>
  </si>
  <si>
    <t>L.01</t>
  </si>
  <si>
    <t>upah</t>
  </si>
  <si>
    <t>Pekerja</t>
  </si>
  <si>
    <t>OH</t>
  </si>
  <si>
    <t>L.02</t>
  </si>
  <si>
    <t>Tukang Batu</t>
  </si>
  <si>
    <t>L.03</t>
  </si>
  <si>
    <t>Tukang Kayu</t>
  </si>
  <si>
    <t>L.04</t>
  </si>
  <si>
    <t>Tukang Besi</t>
  </si>
  <si>
    <t>L.05</t>
  </si>
  <si>
    <t>Tukang Cat</t>
  </si>
  <si>
    <t>L.06</t>
  </si>
  <si>
    <t>Kepala Tukang</t>
  </si>
  <si>
    <t>L.07</t>
  </si>
  <si>
    <t>Mandor</t>
  </si>
  <si>
    <t>M.01</t>
  </si>
  <si>
    <t>bahan</t>
  </si>
  <si>
    <t>Semen Portland (PC)</t>
  </si>
  <si>
    <t>kg</t>
  </si>
  <si>
    <t>M.02</t>
  </si>
  <si>
    <t>Pasir pasang</t>
  </si>
  <si>
    <t>m3</t>
  </si>
  <si>
    <t>M.03</t>
  </si>
  <si>
    <t>Pasir urug</t>
  </si>
  <si>
    <t>M.04</t>
  </si>
  <si>
    <t>Bata merah</t>
  </si>
  <si>
    <t>bh</t>
  </si>
  <si>
    <t>M.05</t>
  </si>
  <si>
    <t>Batu belah</t>
  </si>
  <si>
    <t>M.06</t>
  </si>
  <si>
    <t>Pasir beton</t>
  </si>
  <si>
    <t>M.07</t>
  </si>
  <si>
    <t>Split / kerikil beton</t>
  </si>
  <si>
    <t>M.08</t>
  </si>
  <si>
    <t>Air kerja</t>
  </si>
  <si>
    <t>L</t>
  </si>
  <si>
    <t>M.09</t>
  </si>
  <si>
    <t>Besi beton</t>
  </si>
  <si>
    <t>M.10</t>
  </si>
  <si>
    <t>Kawat beton</t>
  </si>
  <si>
    <t>M.11</t>
  </si>
  <si>
    <t>Kayu kelas III (bekisting)</t>
  </si>
  <si>
    <t>M.12</t>
  </si>
  <si>
    <t>Paku 5-12 cm</t>
  </si>
  <si>
    <t>M.13</t>
  </si>
  <si>
    <t>Minyak bekisting</t>
  </si>
  <si>
    <t>M.14</t>
  </si>
  <si>
    <t>Balok kayu kelas II</t>
  </si>
  <si>
    <t>M.15</t>
  </si>
  <si>
    <t>Plywood 9 mm</t>
  </si>
  <si>
    <t>lbr</t>
  </si>
  <si>
    <t>M.16</t>
  </si>
  <si>
    <t>Dolken kayu</t>
  </si>
  <si>
    <t>btg</t>
  </si>
  <si>
    <t>M.17</t>
  </si>
  <si>
    <t>Plamir tembok</t>
  </si>
  <si>
    <t>M.18</t>
  </si>
  <si>
    <t>Cat dasar (sealer)</t>
  </si>
  <si>
    <t>M.19</t>
  </si>
  <si>
    <t>Cat tembok penutup</t>
  </si>
  <si>
    <t>M.20</t>
  </si>
  <si>
    <t>Keramik 20x20</t>
  </si>
  <si>
    <t>M.21</t>
  </si>
  <si>
    <t>Semen warna (nat)</t>
  </si>
  <si>
    <t>Uraian Pekerjaan</t>
  </si>
  <si>
    <t>Kode Komp.</t>
  </si>
  <si>
    <t>Komponen</t>
  </si>
  <si>
    <t>Sat.</t>
  </si>
  <si>
    <t>Koefisien</t>
  </si>
  <si>
    <t>Jumlah (Rp)</t>
  </si>
  <si>
    <t>A. Pekerjaan Tanah</t>
  </si>
  <si>
    <t>A.01</t>
  </si>
  <si>
    <t>Galian tanah biasa sedalam s.d. 1 m</t>
  </si>
  <si>
    <t>Jumlah harga bahan + upah</t>
  </si>
  <si>
    <t>Overhead &amp; profit</t>
  </si>
  <si>
    <t>Harga satuan pekerjaan per m3</t>
  </si>
  <si>
    <t>A.02</t>
  </si>
  <si>
    <t>Urugan pasir</t>
  </si>
  <si>
    <t>B. Pekerjaan Pondasi</t>
  </si>
  <si>
    <t>B.01</t>
  </si>
  <si>
    <t>Pondasi batu belah, campuran 1 PC : 5 PS</t>
  </si>
  <si>
    <t>B.02</t>
  </si>
  <si>
    <t>Pondasi batu belah, campuran 1 PC : 4 PS</t>
  </si>
  <si>
    <t>C. Pekerjaan Beton</t>
  </si>
  <si>
    <t>C.01</t>
  </si>
  <si>
    <t>Beton K-175 (site mix)</t>
  </si>
  <si>
    <t>C.02</t>
  </si>
  <si>
    <t>Beton K-225 (site mix)</t>
  </si>
  <si>
    <t>C.03</t>
  </si>
  <si>
    <t>Beton K-250 (site mix)</t>
  </si>
  <si>
    <t>C.04</t>
  </si>
  <si>
    <t>Beton K-300 (site mix)</t>
  </si>
  <si>
    <t>C.05</t>
  </si>
  <si>
    <t>Pembesian dengan besi polos/ulir (per 10 kg)</t>
  </si>
  <si>
    <t>10 kg</t>
  </si>
  <si>
    <t>Harga satuan pekerjaan per 10 kg</t>
  </si>
  <si>
    <t>C.06</t>
  </si>
  <si>
    <t>Bekisting kolom (kayu + plywood)</t>
  </si>
  <si>
    <t>m2</t>
  </si>
  <si>
    <t>Harga satuan pekerjaan per m2</t>
  </si>
  <si>
    <t>D. Pekerjaan Dinding</t>
  </si>
  <si>
    <t>D.01</t>
  </si>
  <si>
    <t>Pasangan dinding bata merah 1/2 bata, campuran 1 PC : 4 PS</t>
  </si>
  <si>
    <t>D.02</t>
  </si>
  <si>
    <t>Plesteran 1 PC : 4 PS, tebal 15 mm</t>
  </si>
  <si>
    <t>D.03</t>
  </si>
  <si>
    <t>Acian</t>
  </si>
  <si>
    <t>E. Pekerjaan Finishing</t>
  </si>
  <si>
    <t>E.01</t>
  </si>
  <si>
    <t>Pengecatan tembok baru (1 plamir, 1 cat dasar, 2 cat penutup)</t>
  </si>
  <si>
    <t>E.02</t>
  </si>
  <si>
    <t>Pasang lantai keramik 20x20 (spesi + nat)</t>
  </si>
  <si>
    <t>Divisi</t>
  </si>
  <si>
    <t>Bahan (Rp)</t>
  </si>
  <si>
    <t>Upah (Rp)</t>
  </si>
  <si>
    <t>Overhead &amp; Profit</t>
  </si>
  <si>
    <t>Keyakinan</t>
  </si>
  <si>
    <t>tinggi</t>
  </si>
  <si>
    <t>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</si>
</sst>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000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color rgb="FF0000FF"/>
    </font>
    <font>
      <b/>
      <color rgb="FFC00000"/>
    </font>
    <font>
      <b/>
      <color rgb="FFFFFFFF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EF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3" fontId="2" fillId="0" borderId="0" xfId="0" applyNumberFormat="1" applyFont="1"/>
    <xf numFmtId="0" fontId="5" fillId="3" borderId="0" xfId="0" applyFont="1" applyFill="1"/>
    <xf numFmtId="0" fontId="6" fillId="0" borderId="0" xfId="0" applyFont="1"/>
    <xf numFmtId="0" fontId="2" fillId="0" borderId="0" xfId="0" applyFont="1"/>
    <xf numFmtId="165" fontId="2" fillId="0" borderId="0" xfId="0" applyNumberFormat="1" applyFont="1"/>
    <xf numFmtId="3" fontId="0" fillId="0" borderId="0" xfId="0" applyNumberFormat="1"/>
    <xf numFmtId="3" fontId="6" fillId="0" borderId="0" xfId="0" applyNumberFormat="1" applyFont="1"/>
    <xf numFmtId="164" fontId="0" fillId="0" borderId="0" xfId="0" applyNumberFormat="1"/>
    <xf numFmtId="0" fontId="6" fillId="4" borderId="0" xfId="0" applyFont="1" applyFill="1"/>
    <xf numFmtId="3" fontId="6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4" customWidth="1"/>
    <col min="2" max="2" width="16" customWidth="1"/>
    <col min="3" max="3" width="7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x14ac:dyDescent="0.25">
      <c r="A2" t="s">
        <v>2</v>
      </c>
      <c r="B2" s="2">
        <v>0.1</v>
      </c>
      <c r="C2" t="s">
        <v>3</v>
      </c>
    </row>
    <row r="3" spans="1:3" x14ac:dyDescent="0.25">
      <c r="A3" t="s">
        <v>4</v>
      </c>
      <c r="B3" s="2">
        <v>0.11</v>
      </c>
      <c r="C3" t="s">
        <v>5</v>
      </c>
    </row>
    <row r="5" spans="1:1" s="3" customFormat="1" x14ac:dyDescent="0.25">
      <c r="A5" s="3" t="s">
        <v>6</v>
      </c>
    </row>
    <row r="6" ht="34" customHeight="1" spans="1:3" s="4" customFormat="1" x14ac:dyDescent="0.25">
      <c r="A6" s="4" t="s">
        <v>7</v>
      </c>
      <c r="B6" s="4"/>
      <c r="C6" s="4"/>
    </row>
    <row r="7" ht="34" customHeight="1" spans="1:3" s="4" customFormat="1" x14ac:dyDescent="0.25">
      <c r="A7" s="4" t="s">
        <v>8</v>
      </c>
      <c r="B7" s="4"/>
      <c r="C7" s="4"/>
    </row>
    <row r="8" ht="34" customHeight="1" spans="1:3" s="4" customFormat="1" x14ac:dyDescent="0.25">
      <c r="A8" s="4" t="s">
        <v>9</v>
      </c>
      <c r="B8" s="4"/>
      <c r="C8" s="4"/>
    </row>
    <row r="9" ht="34" customHeight="1" spans="1:3" s="4" customFormat="1" x14ac:dyDescent="0.25">
      <c r="A9" s="4" t="s">
        <v>10</v>
      </c>
      <c r="B9" s="4"/>
      <c r="C9" s="4"/>
    </row>
  </sheetData>
  <mergeCells count="4">
    <mergeCell ref="A6:C6"/>
    <mergeCell ref="A7:C7"/>
    <mergeCell ref="A8:C8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34" customWidth="1"/>
    <col min="5" max="5" width="16" customWidth="1"/>
  </cols>
  <sheetData>
    <row r="1" spans="1:5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 spans="1:5" x14ac:dyDescent="0.25">
      <c r="A2" t="s">
        <v>16</v>
      </c>
      <c r="B2" t="s">
        <v>17</v>
      </c>
      <c r="C2" t="s">
        <v>18</v>
      </c>
      <c r="D2" t="s">
        <v>19</v>
      </c>
      <c r="E2" s="6">
        <v>120000</v>
      </c>
    </row>
    <row r="3" spans="1:5" x14ac:dyDescent="0.25">
      <c r="A3" t="s">
        <v>20</v>
      </c>
      <c r="B3" t="s">
        <v>17</v>
      </c>
      <c r="C3" t="s">
        <v>21</v>
      </c>
      <c r="D3" t="s">
        <v>19</v>
      </c>
      <c r="E3" s="6">
        <v>150000</v>
      </c>
    </row>
    <row r="4" spans="1:5" x14ac:dyDescent="0.25">
      <c r="A4" t="s">
        <v>22</v>
      </c>
      <c r="B4" t="s">
        <v>17</v>
      </c>
      <c r="C4" t="s">
        <v>23</v>
      </c>
      <c r="D4" t="s">
        <v>19</v>
      </c>
      <c r="E4" s="6">
        <v>150000</v>
      </c>
    </row>
    <row r="5" spans="1:5" x14ac:dyDescent="0.25">
      <c r="A5" t="s">
        <v>24</v>
      </c>
      <c r="B5" t="s">
        <v>17</v>
      </c>
      <c r="C5" t="s">
        <v>25</v>
      </c>
      <c r="D5" t="s">
        <v>19</v>
      </c>
      <c r="E5" s="6">
        <v>150000</v>
      </c>
    </row>
    <row r="6" spans="1:5" x14ac:dyDescent="0.25">
      <c r="A6" t="s">
        <v>26</v>
      </c>
      <c r="B6" t="s">
        <v>17</v>
      </c>
      <c r="C6" t="s">
        <v>27</v>
      </c>
      <c r="D6" t="s">
        <v>19</v>
      </c>
      <c r="E6" s="6">
        <v>150000</v>
      </c>
    </row>
    <row r="7" spans="1:5" x14ac:dyDescent="0.25">
      <c r="A7" t="s">
        <v>28</v>
      </c>
      <c r="B7" t="s">
        <v>17</v>
      </c>
      <c r="C7" t="s">
        <v>29</v>
      </c>
      <c r="D7" t="s">
        <v>19</v>
      </c>
      <c r="E7" s="6">
        <v>165000</v>
      </c>
    </row>
    <row r="8" spans="1:5" x14ac:dyDescent="0.25">
      <c r="A8" t="s">
        <v>30</v>
      </c>
      <c r="B8" t="s">
        <v>17</v>
      </c>
      <c r="C8" t="s">
        <v>31</v>
      </c>
      <c r="D8" t="s">
        <v>19</v>
      </c>
      <c r="E8" s="6">
        <v>175000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s="6">
        <v>1400</v>
      </c>
    </row>
    <row r="10" spans="1:5" x14ac:dyDescent="0.25">
      <c r="A10" t="s">
        <v>36</v>
      </c>
      <c r="B10" t="s">
        <v>33</v>
      </c>
      <c r="C10" t="s">
        <v>37</v>
      </c>
      <c r="D10" t="s">
        <v>38</v>
      </c>
      <c r="E10" s="6">
        <v>280000</v>
      </c>
    </row>
    <row r="11" spans="1:5" x14ac:dyDescent="0.25">
      <c r="A11" t="s">
        <v>39</v>
      </c>
      <c r="B11" t="s">
        <v>33</v>
      </c>
      <c r="C11" t="s">
        <v>40</v>
      </c>
      <c r="D11" t="s">
        <v>38</v>
      </c>
      <c r="E11" s="6">
        <v>220000</v>
      </c>
    </row>
    <row r="12" spans="1:5" x14ac:dyDescent="0.25">
      <c r="A12" t="s">
        <v>41</v>
      </c>
      <c r="B12" t="s">
        <v>33</v>
      </c>
      <c r="C12" t="s">
        <v>42</v>
      </c>
      <c r="D12" t="s">
        <v>43</v>
      </c>
      <c r="E12" s="6">
        <v>900</v>
      </c>
    </row>
    <row r="13" spans="1:5" x14ac:dyDescent="0.25">
      <c r="A13" t="s">
        <v>44</v>
      </c>
      <c r="B13" t="s">
        <v>33</v>
      </c>
      <c r="C13" t="s">
        <v>45</v>
      </c>
      <c r="D13" t="s">
        <v>38</v>
      </c>
      <c r="E13" s="6">
        <v>300000</v>
      </c>
    </row>
    <row r="14" spans="1:5" x14ac:dyDescent="0.25">
      <c r="A14" t="s">
        <v>46</v>
      </c>
      <c r="B14" t="s">
        <v>33</v>
      </c>
      <c r="C14" t="s">
        <v>47</v>
      </c>
      <c r="D14" t="s">
        <v>35</v>
      </c>
      <c r="E14" s="6">
        <v>200</v>
      </c>
    </row>
    <row r="15" spans="1:5" x14ac:dyDescent="0.25">
      <c r="A15" t="s">
        <v>48</v>
      </c>
      <c r="B15" t="s">
        <v>33</v>
      </c>
      <c r="C15" t="s">
        <v>49</v>
      </c>
      <c r="D15" t="s">
        <v>35</v>
      </c>
      <c r="E15" s="6">
        <v>240</v>
      </c>
    </row>
    <row r="16" spans="1:5" x14ac:dyDescent="0.25">
      <c r="A16" t="s">
        <v>50</v>
      </c>
      <c r="B16" t="s">
        <v>33</v>
      </c>
      <c r="C16" t="s">
        <v>51</v>
      </c>
      <c r="D16" t="s">
        <v>52</v>
      </c>
      <c r="E16" s="6">
        <v>30</v>
      </c>
    </row>
    <row r="17" spans="1:5" x14ac:dyDescent="0.25">
      <c r="A17" t="s">
        <v>53</v>
      </c>
      <c r="B17" t="s">
        <v>33</v>
      </c>
      <c r="C17" t="s">
        <v>54</v>
      </c>
      <c r="D17" t="s">
        <v>35</v>
      </c>
      <c r="E17" s="6">
        <v>14500</v>
      </c>
    </row>
    <row r="18" spans="1:5" x14ac:dyDescent="0.25">
      <c r="A18" t="s">
        <v>55</v>
      </c>
      <c r="B18" t="s">
        <v>33</v>
      </c>
      <c r="C18" t="s">
        <v>56</v>
      </c>
      <c r="D18" t="s">
        <v>35</v>
      </c>
      <c r="E18" s="6">
        <v>22000</v>
      </c>
    </row>
    <row r="19" spans="1:5" x14ac:dyDescent="0.25">
      <c r="A19" t="s">
        <v>57</v>
      </c>
      <c r="B19" t="s">
        <v>33</v>
      </c>
      <c r="C19" t="s">
        <v>58</v>
      </c>
      <c r="D19" t="s">
        <v>38</v>
      </c>
      <c r="E19" s="6">
        <v>3500000</v>
      </c>
    </row>
    <row r="20" spans="1:5" x14ac:dyDescent="0.25">
      <c r="A20" t="s">
        <v>59</v>
      </c>
      <c r="B20" t="s">
        <v>33</v>
      </c>
      <c r="C20" t="s">
        <v>60</v>
      </c>
      <c r="D20" t="s">
        <v>35</v>
      </c>
      <c r="E20" s="6">
        <v>20000</v>
      </c>
    </row>
    <row r="21" spans="1:5" x14ac:dyDescent="0.25">
      <c r="A21" t="s">
        <v>61</v>
      </c>
      <c r="B21" t="s">
        <v>33</v>
      </c>
      <c r="C21" t="s">
        <v>62</v>
      </c>
      <c r="D21" t="s">
        <v>52</v>
      </c>
      <c r="E21" s="6">
        <v>25000</v>
      </c>
    </row>
    <row r="22" spans="1:5" x14ac:dyDescent="0.25">
      <c r="A22" t="s">
        <v>63</v>
      </c>
      <c r="B22" t="s">
        <v>33</v>
      </c>
      <c r="C22" t="s">
        <v>64</v>
      </c>
      <c r="D22" t="s">
        <v>38</v>
      </c>
      <c r="E22" s="6">
        <v>4500000</v>
      </c>
    </row>
    <row r="23" spans="1:5" x14ac:dyDescent="0.25">
      <c r="A23" t="s">
        <v>65</v>
      </c>
      <c r="B23" t="s">
        <v>33</v>
      </c>
      <c r="C23" t="s">
        <v>66</v>
      </c>
      <c r="D23" t="s">
        <v>67</v>
      </c>
      <c r="E23" s="6">
        <v>150000</v>
      </c>
    </row>
    <row r="24" spans="1:5" x14ac:dyDescent="0.25">
      <c r="A24" t="s">
        <v>68</v>
      </c>
      <c r="B24" t="s">
        <v>33</v>
      </c>
      <c r="C24" t="s">
        <v>69</v>
      </c>
      <c r="D24" t="s">
        <v>70</v>
      </c>
      <c r="E24" s="6">
        <v>15000</v>
      </c>
    </row>
    <row r="25" spans="1:5" x14ac:dyDescent="0.25">
      <c r="A25" t="s">
        <v>71</v>
      </c>
      <c r="B25" t="s">
        <v>33</v>
      </c>
      <c r="C25" t="s">
        <v>72</v>
      </c>
      <c r="D25" t="s">
        <v>35</v>
      </c>
      <c r="E25" s="6">
        <v>25000</v>
      </c>
    </row>
    <row r="26" spans="1:5" x14ac:dyDescent="0.25">
      <c r="A26" t="s">
        <v>73</v>
      </c>
      <c r="B26" t="s">
        <v>33</v>
      </c>
      <c r="C26" t="s">
        <v>74</v>
      </c>
      <c r="D26" t="s">
        <v>35</v>
      </c>
      <c r="E26" s="6">
        <v>35000</v>
      </c>
    </row>
    <row r="27" spans="1:5" x14ac:dyDescent="0.25">
      <c r="A27" t="s">
        <v>75</v>
      </c>
      <c r="B27" t="s">
        <v>33</v>
      </c>
      <c r="C27" t="s">
        <v>76</v>
      </c>
      <c r="D27" t="s">
        <v>35</v>
      </c>
      <c r="E27" s="6">
        <v>45000</v>
      </c>
    </row>
    <row r="28" spans="1:5" x14ac:dyDescent="0.25">
      <c r="A28" t="s">
        <v>77</v>
      </c>
      <c r="B28" t="s">
        <v>33</v>
      </c>
      <c r="C28" t="s">
        <v>78</v>
      </c>
      <c r="D28" t="s">
        <v>43</v>
      </c>
      <c r="E28" s="6">
        <v>4000</v>
      </c>
    </row>
    <row r="29" spans="1:5" x14ac:dyDescent="0.25">
      <c r="A29" t="s">
        <v>79</v>
      </c>
      <c r="B29" t="s">
        <v>33</v>
      </c>
      <c r="C29" t="s">
        <v>80</v>
      </c>
      <c r="D29" t="s">
        <v>35</v>
      </c>
      <c r="E29" s="6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2" customWidth="1"/>
    <col min="5" max="5" width="34" customWidth="1"/>
    <col min="6" max="6" width="8" customWidth="1"/>
    <col min="7" max="7" width="12" customWidth="1"/>
    <col min="8" max="8" width="16" customWidth="1"/>
    <col min="9" max="9" width="18" customWidth="1"/>
  </cols>
  <sheetData>
    <row r="1" spans="1:9" x14ac:dyDescent="0.25">
      <c r="A1" s="5" t="s">
        <v>11</v>
      </c>
      <c r="B1" s="5" t="s">
        <v>81</v>
      </c>
      <c r="C1" s="5" t="s">
        <v>14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15</v>
      </c>
      <c r="I1" s="5" t="s">
        <v>86</v>
      </c>
    </row>
    <row r="2" spans="1:9" s="7" customFormat="1" x14ac:dyDescent="0.25">
      <c r="A2" s="7" t="s">
        <v>87</v>
      </c>
      <c r="B2" s="7"/>
      <c r="C2" s="7"/>
      <c r="D2" s="7"/>
      <c r="E2" s="7"/>
      <c r="F2" s="7"/>
      <c r="G2" s="7"/>
      <c r="H2" s="7"/>
      <c r="I2" s="7"/>
    </row>
    <row r="3" spans="1:3" s="8" customFormat="1" x14ac:dyDescent="0.25">
      <c r="A3" s="8" t="s">
        <v>88</v>
      </c>
      <c r="B3" s="8" t="s">
        <v>89</v>
      </c>
      <c r="C3" s="8" t="s">
        <v>38</v>
      </c>
    </row>
    <row r="4" spans="4:9" x14ac:dyDescent="0.25">
      <c r="D4" s="9" t="s">
        <v>16</v>
      </c>
      <c r="E4" t="str">
        <f>INDEX('Harga Dasar'!$C$2:$C$29,MATCH(D4,'Harga Dasar'!$A$2:$A$29,0))</f>
        <v>Pekerja</v>
      </c>
      <c r="F4" t="str">
        <f>INDEX('Harga Dasar'!$D$2:$D$29,MATCH(D4,'Harga Dasar'!$A$2:$A$29,0))</f>
        <v>OH</v>
      </c>
      <c r="G4" s="10">
        <v>0.75</v>
      </c>
      <c r="H4" s="11">
        <f>INDEX('Harga Dasar'!$E$2:$E$29,MATCH(D4,'Harga Dasar'!$A$2:$A$29,0))</f>
        <v>120000</v>
      </c>
      <c r="I4" s="11">
        <f>G4*H4</f>
        <v>90000</v>
      </c>
    </row>
    <row r="5" spans="4:9" x14ac:dyDescent="0.25">
      <c r="D5" s="9" t="s">
        <v>30</v>
      </c>
      <c r="E5" t="str">
        <f>INDEX('Harga Dasar'!$C$2:$C$29,MATCH(D5,'Harga Dasar'!$A$2:$A$29,0))</f>
        <v>Mandor</v>
      </c>
      <c r="F5" t="str">
        <f>INDEX('Harga Dasar'!$D$2:$D$29,MATCH(D5,'Harga Dasar'!$A$2:$A$29,0))</f>
        <v>OH</v>
      </c>
      <c r="G5" s="10">
        <v>0.025</v>
      </c>
      <c r="H5" s="11">
        <f>INDEX('Harga Dasar'!$E$2:$E$29,MATCH(D5,'Harga Dasar'!$A$2:$A$29,0))</f>
        <v>175000</v>
      </c>
      <c r="I5" s="11">
        <f>G5*H5</f>
        <v>4375</v>
      </c>
    </row>
    <row r="6" spans="5:9" s="8" customFormat="1" x14ac:dyDescent="0.25">
      <c r="E6" s="8" t="s">
        <v>90</v>
      </c>
      <c r="I6" s="12">
        <f>SUM(I4:I5)</f>
        <v>94375</v>
      </c>
    </row>
    <row r="7" spans="5:9" x14ac:dyDescent="0.25">
      <c r="E7" t="s">
        <v>91</v>
      </c>
      <c r="G7" s="13">
        <f>Pengaturan!$B$2</f>
        <v>0.1</v>
      </c>
      <c r="I7" s="11">
        <f>I6*G7</f>
        <v>9437.5</v>
      </c>
    </row>
    <row r="8" spans="1:9" s="8" customFormat="1" x14ac:dyDescent="0.25">
      <c r="A8" s="14"/>
      <c r="B8" s="14"/>
      <c r="C8" s="14"/>
      <c r="D8" s="14"/>
      <c r="E8" s="14" t="s">
        <v>92</v>
      </c>
      <c r="F8" s="14"/>
      <c r="G8" s="14"/>
      <c r="H8" s="14"/>
      <c r="I8" s="15">
        <f>I6+I7</f>
        <v>103812.5</v>
      </c>
    </row>
    <row r="10" spans="1:3" s="8" customFormat="1" x14ac:dyDescent="0.25">
      <c r="A10" s="8" t="s">
        <v>93</v>
      </c>
      <c r="B10" s="8" t="s">
        <v>94</v>
      </c>
      <c r="C10" s="8" t="s">
        <v>38</v>
      </c>
    </row>
    <row r="11" spans="4:9" x14ac:dyDescent="0.25">
      <c r="D11" s="9" t="s">
        <v>39</v>
      </c>
      <c r="E11" t="str">
        <f>INDEX('Harga Dasar'!$C$2:$C$29,MATCH(D11,'Harga Dasar'!$A$2:$A$29,0))</f>
        <v>Pasir urug</v>
      </c>
      <c r="F11" t="str">
        <f>INDEX('Harga Dasar'!$D$2:$D$29,MATCH(D11,'Harga Dasar'!$A$2:$A$29,0))</f>
        <v>m3</v>
      </c>
      <c r="G11" s="10">
        <v>1.2</v>
      </c>
      <c r="H11" s="11">
        <f>INDEX('Harga Dasar'!$E$2:$E$29,MATCH(D11,'Harga Dasar'!$A$2:$A$29,0))</f>
        <v>220000</v>
      </c>
      <c r="I11" s="11">
        <f>G11*H11</f>
        <v>264000</v>
      </c>
    </row>
    <row r="12" spans="4:9" x14ac:dyDescent="0.25">
      <c r="D12" s="9" t="s">
        <v>16</v>
      </c>
      <c r="E12" t="str">
        <f>INDEX('Harga Dasar'!$C$2:$C$29,MATCH(D12,'Harga Dasar'!$A$2:$A$29,0))</f>
        <v>Pekerja</v>
      </c>
      <c r="F12" t="str">
        <f>INDEX('Harga Dasar'!$D$2:$D$29,MATCH(D12,'Harga Dasar'!$A$2:$A$29,0))</f>
        <v>OH</v>
      </c>
      <c r="G12" s="10">
        <v>0.3</v>
      </c>
      <c r="H12" s="11">
        <f>INDEX('Harga Dasar'!$E$2:$E$29,MATCH(D12,'Harga Dasar'!$A$2:$A$29,0))</f>
        <v>120000</v>
      </c>
      <c r="I12" s="11">
        <f>G12*H12</f>
        <v>36000</v>
      </c>
    </row>
    <row r="13" spans="4:9" x14ac:dyDescent="0.25">
      <c r="D13" s="9" t="s">
        <v>30</v>
      </c>
      <c r="E13" t="str">
        <f>INDEX('Harga Dasar'!$C$2:$C$29,MATCH(D13,'Harga Dasar'!$A$2:$A$29,0))</f>
        <v>Mandor</v>
      </c>
      <c r="F13" t="str">
        <f>INDEX('Harga Dasar'!$D$2:$D$29,MATCH(D13,'Harga Dasar'!$A$2:$A$29,0))</f>
        <v>OH</v>
      </c>
      <c r="G13" s="10">
        <v>0.01</v>
      </c>
      <c r="H13" s="11">
        <f>INDEX('Harga Dasar'!$E$2:$E$29,MATCH(D13,'Harga Dasar'!$A$2:$A$29,0))</f>
        <v>175000</v>
      </c>
      <c r="I13" s="11">
        <f>G13*H13</f>
        <v>1750</v>
      </c>
    </row>
    <row r="14" spans="5:9" s="8" customFormat="1" x14ac:dyDescent="0.25">
      <c r="E14" s="8" t="s">
        <v>90</v>
      </c>
      <c r="I14" s="12">
        <f>SUM(I11:I13)</f>
        <v>301750</v>
      </c>
    </row>
    <row r="15" spans="5:9" x14ac:dyDescent="0.25">
      <c r="E15" t="s">
        <v>91</v>
      </c>
      <c r="G15" s="13">
        <f>Pengaturan!$B$2</f>
        <v>0.1</v>
      </c>
      <c r="I15" s="11">
        <f>I14*G15</f>
        <v>30175</v>
      </c>
    </row>
    <row r="16" spans="1:9" s="8" customFormat="1" x14ac:dyDescent="0.25">
      <c r="A16" s="14"/>
      <c r="B16" s="14"/>
      <c r="C16" s="14"/>
      <c r="D16" s="14"/>
      <c r="E16" s="14" t="s">
        <v>92</v>
      </c>
      <c r="F16" s="14"/>
      <c r="G16" s="14"/>
      <c r="H16" s="14"/>
      <c r="I16" s="15">
        <f>I14+I15</f>
        <v>331925</v>
      </c>
    </row>
    <row r="18" spans="1:9" s="7" customFormat="1" x14ac:dyDescent="0.25">
      <c r="A18" s="7" t="s">
        <v>95</v>
      </c>
      <c r="B18" s="7"/>
      <c r="C18" s="7"/>
      <c r="D18" s="7"/>
      <c r="E18" s="7"/>
      <c r="F18" s="7"/>
      <c r="G18" s="7"/>
      <c r="H18" s="7"/>
      <c r="I18" s="7"/>
    </row>
    <row r="19" spans="1:3" s="8" customFormat="1" x14ac:dyDescent="0.25">
      <c r="A19" s="8" t="s">
        <v>96</v>
      </c>
      <c r="B19" s="8" t="s">
        <v>97</v>
      </c>
      <c r="C19" s="8" t="s">
        <v>38</v>
      </c>
    </row>
    <row r="20" spans="4:9" x14ac:dyDescent="0.25">
      <c r="D20" s="9" t="s">
        <v>44</v>
      </c>
      <c r="E20" t="str">
        <f>INDEX('Harga Dasar'!$C$2:$C$29,MATCH(D20,'Harga Dasar'!$A$2:$A$29,0))</f>
        <v>Batu belah</v>
      </c>
      <c r="F20" t="str">
        <f>INDEX('Harga Dasar'!$D$2:$D$29,MATCH(D20,'Harga Dasar'!$A$2:$A$29,0))</f>
        <v>m3</v>
      </c>
      <c r="G20" s="10">
        <v>1.2</v>
      </c>
      <c r="H20" s="11">
        <f>INDEX('Harga Dasar'!$E$2:$E$29,MATCH(D20,'Harga Dasar'!$A$2:$A$29,0))</f>
        <v>300000</v>
      </c>
      <c r="I20" s="11">
        <f>G20*H20</f>
        <v>360000</v>
      </c>
    </row>
    <row r="21" spans="4:9" x14ac:dyDescent="0.25">
      <c r="D21" s="9" t="s">
        <v>32</v>
      </c>
      <c r="E21" t="str">
        <f>INDEX('Harga Dasar'!$C$2:$C$29,MATCH(D21,'Harga Dasar'!$A$2:$A$29,0))</f>
        <v>Semen Portland (PC)</v>
      </c>
      <c r="F21" t="str">
        <f>INDEX('Harga Dasar'!$D$2:$D$29,MATCH(D21,'Harga Dasar'!$A$2:$A$29,0))</f>
        <v>kg</v>
      </c>
      <c r="G21" s="10">
        <v>163</v>
      </c>
      <c r="H21" s="11">
        <f>INDEX('Harga Dasar'!$E$2:$E$29,MATCH(D21,'Harga Dasar'!$A$2:$A$29,0))</f>
        <v>1400</v>
      </c>
      <c r="I21" s="11">
        <f>G21*H21</f>
        <v>228200</v>
      </c>
    </row>
    <row r="22" spans="4:9" x14ac:dyDescent="0.25">
      <c r="D22" s="9" t="s">
        <v>36</v>
      </c>
      <c r="E22" t="str">
        <f>INDEX('Harga Dasar'!$C$2:$C$29,MATCH(D22,'Harga Dasar'!$A$2:$A$29,0))</f>
        <v>Pasir pasang</v>
      </c>
      <c r="F22" t="str">
        <f>INDEX('Harga Dasar'!$D$2:$D$29,MATCH(D22,'Harga Dasar'!$A$2:$A$29,0))</f>
        <v>m3</v>
      </c>
      <c r="G22" s="10">
        <v>0.52</v>
      </c>
      <c r="H22" s="11">
        <f>INDEX('Harga Dasar'!$E$2:$E$29,MATCH(D22,'Harga Dasar'!$A$2:$A$29,0))</f>
        <v>280000</v>
      </c>
      <c r="I22" s="11">
        <f>G22*H22</f>
        <v>145600</v>
      </c>
    </row>
    <row r="23" spans="4:9" x14ac:dyDescent="0.25">
      <c r="D23" s="9" t="s">
        <v>16</v>
      </c>
      <c r="E23" t="str">
        <f>INDEX('Harga Dasar'!$C$2:$C$29,MATCH(D23,'Harga Dasar'!$A$2:$A$29,0))</f>
        <v>Pekerja</v>
      </c>
      <c r="F23" t="str">
        <f>INDEX('Harga Dasar'!$D$2:$D$29,MATCH(D23,'Harga Dasar'!$A$2:$A$29,0))</f>
        <v>OH</v>
      </c>
      <c r="G23" s="10">
        <v>1.5</v>
      </c>
      <c r="H23" s="11">
        <f>INDEX('Harga Dasar'!$E$2:$E$29,MATCH(D23,'Harga Dasar'!$A$2:$A$29,0))</f>
        <v>120000</v>
      </c>
      <c r="I23" s="11">
        <f>G23*H23</f>
        <v>180000</v>
      </c>
    </row>
    <row r="24" spans="4:9" x14ac:dyDescent="0.25">
      <c r="D24" s="9" t="s">
        <v>20</v>
      </c>
      <c r="E24" t="str">
        <f>INDEX('Harga Dasar'!$C$2:$C$29,MATCH(D24,'Harga Dasar'!$A$2:$A$29,0))</f>
        <v>Tukang Batu</v>
      </c>
      <c r="F24" t="str">
        <f>INDEX('Harga Dasar'!$D$2:$D$29,MATCH(D24,'Harga Dasar'!$A$2:$A$29,0))</f>
        <v>OH</v>
      </c>
      <c r="G24" s="10">
        <v>0.75</v>
      </c>
      <c r="H24" s="11">
        <f>INDEX('Harga Dasar'!$E$2:$E$29,MATCH(D24,'Harga Dasar'!$A$2:$A$29,0))</f>
        <v>150000</v>
      </c>
      <c r="I24" s="11">
        <f>G24*H24</f>
        <v>112500</v>
      </c>
    </row>
    <row r="25" spans="4:9" x14ac:dyDescent="0.25">
      <c r="D25" s="9" t="s">
        <v>28</v>
      </c>
      <c r="E25" t="str">
        <f>INDEX('Harga Dasar'!$C$2:$C$29,MATCH(D25,'Harga Dasar'!$A$2:$A$29,0))</f>
        <v>Kepala Tukang</v>
      </c>
      <c r="F25" t="str">
        <f>INDEX('Harga Dasar'!$D$2:$D$29,MATCH(D25,'Harga Dasar'!$A$2:$A$29,0))</f>
        <v>OH</v>
      </c>
      <c r="G25" s="10">
        <v>0.075</v>
      </c>
      <c r="H25" s="11">
        <f>INDEX('Harga Dasar'!$E$2:$E$29,MATCH(D25,'Harga Dasar'!$A$2:$A$29,0))</f>
        <v>165000</v>
      </c>
      <c r="I25" s="11">
        <f>G25*H25</f>
        <v>12375</v>
      </c>
    </row>
    <row r="26" spans="4:9" x14ac:dyDescent="0.25">
      <c r="D26" s="9" t="s">
        <v>30</v>
      </c>
      <c r="E26" t="str">
        <f>INDEX('Harga Dasar'!$C$2:$C$29,MATCH(D26,'Harga Dasar'!$A$2:$A$29,0))</f>
        <v>Mandor</v>
      </c>
      <c r="F26" t="str">
        <f>INDEX('Harga Dasar'!$D$2:$D$29,MATCH(D26,'Harga Dasar'!$A$2:$A$29,0))</f>
        <v>OH</v>
      </c>
      <c r="G26" s="10">
        <v>0.075</v>
      </c>
      <c r="H26" s="11">
        <f>INDEX('Harga Dasar'!$E$2:$E$29,MATCH(D26,'Harga Dasar'!$A$2:$A$29,0))</f>
        <v>175000</v>
      </c>
      <c r="I26" s="11">
        <f>G26*H26</f>
        <v>13125</v>
      </c>
    </row>
    <row r="27" spans="5:9" s="8" customFormat="1" x14ac:dyDescent="0.25">
      <c r="E27" s="8" t="s">
        <v>90</v>
      </c>
      <c r="I27" s="12">
        <f>SUM(I20:I26)</f>
        <v>1051800</v>
      </c>
    </row>
    <row r="28" spans="5:9" x14ac:dyDescent="0.25">
      <c r="E28" t="s">
        <v>91</v>
      </c>
      <c r="G28" s="13">
        <f>Pengaturan!$B$2</f>
        <v>0.1</v>
      </c>
      <c r="I28" s="11">
        <f>I27*G28</f>
        <v>105180</v>
      </c>
    </row>
    <row r="29" spans="1:9" s="8" customFormat="1" x14ac:dyDescent="0.25">
      <c r="A29" s="14"/>
      <c r="B29" s="14"/>
      <c r="C29" s="14"/>
      <c r="D29" s="14"/>
      <c r="E29" s="14" t="s">
        <v>92</v>
      </c>
      <c r="F29" s="14"/>
      <c r="G29" s="14"/>
      <c r="H29" s="14"/>
      <c r="I29" s="15">
        <f>I27+I28</f>
        <v>1156980</v>
      </c>
    </row>
    <row r="31" spans="1:3" s="8" customFormat="1" x14ac:dyDescent="0.25">
      <c r="A31" s="8" t="s">
        <v>98</v>
      </c>
      <c r="B31" s="8" t="s">
        <v>99</v>
      </c>
      <c r="C31" s="8" t="s">
        <v>38</v>
      </c>
    </row>
    <row r="32" spans="4:9" x14ac:dyDescent="0.25">
      <c r="D32" s="9" t="s">
        <v>44</v>
      </c>
      <c r="E32" t="str">
        <f>INDEX('Harga Dasar'!$C$2:$C$29,MATCH(D32,'Harga Dasar'!$A$2:$A$29,0))</f>
        <v>Batu belah</v>
      </c>
      <c r="F32" t="str">
        <f>INDEX('Harga Dasar'!$D$2:$D$29,MATCH(D32,'Harga Dasar'!$A$2:$A$29,0))</f>
        <v>m3</v>
      </c>
      <c r="G32" s="10">
        <v>1.2</v>
      </c>
      <c r="H32" s="11">
        <f>INDEX('Harga Dasar'!$E$2:$E$29,MATCH(D32,'Harga Dasar'!$A$2:$A$29,0))</f>
        <v>300000</v>
      </c>
      <c r="I32" s="11">
        <f>G32*H32</f>
        <v>360000</v>
      </c>
    </row>
    <row r="33" spans="4:9" x14ac:dyDescent="0.25">
      <c r="D33" s="9" t="s">
        <v>32</v>
      </c>
      <c r="E33" t="str">
        <f>INDEX('Harga Dasar'!$C$2:$C$29,MATCH(D33,'Harga Dasar'!$A$2:$A$29,0))</f>
        <v>Semen Portland (PC)</v>
      </c>
      <c r="F33" t="str">
        <f>INDEX('Harga Dasar'!$D$2:$D$29,MATCH(D33,'Harga Dasar'!$A$2:$A$29,0))</f>
        <v>kg</v>
      </c>
      <c r="G33" s="10">
        <v>202</v>
      </c>
      <c r="H33" s="11">
        <f>INDEX('Harga Dasar'!$E$2:$E$29,MATCH(D33,'Harga Dasar'!$A$2:$A$29,0))</f>
        <v>1400</v>
      </c>
      <c r="I33" s="11">
        <f>G33*H33</f>
        <v>282800</v>
      </c>
    </row>
    <row r="34" spans="4:9" x14ac:dyDescent="0.25">
      <c r="D34" s="9" t="s">
        <v>36</v>
      </c>
      <c r="E34" t="str">
        <f>INDEX('Harga Dasar'!$C$2:$C$29,MATCH(D34,'Harga Dasar'!$A$2:$A$29,0))</f>
        <v>Pasir pasang</v>
      </c>
      <c r="F34" t="str">
        <f>INDEX('Harga Dasar'!$D$2:$D$29,MATCH(D34,'Harga Dasar'!$A$2:$A$29,0))</f>
        <v>m3</v>
      </c>
      <c r="G34" s="10">
        <v>0.485</v>
      </c>
      <c r="H34" s="11">
        <f>INDEX('Harga Dasar'!$E$2:$E$29,MATCH(D34,'Harga Dasar'!$A$2:$A$29,0))</f>
        <v>280000</v>
      </c>
      <c r="I34" s="11">
        <f>G34*H34</f>
        <v>135800</v>
      </c>
    </row>
    <row r="35" spans="4:9" x14ac:dyDescent="0.25">
      <c r="D35" s="9" t="s">
        <v>16</v>
      </c>
      <c r="E35" t="str">
        <f>INDEX('Harga Dasar'!$C$2:$C$29,MATCH(D35,'Harga Dasar'!$A$2:$A$29,0))</f>
        <v>Pekerja</v>
      </c>
      <c r="F35" t="str">
        <f>INDEX('Harga Dasar'!$D$2:$D$29,MATCH(D35,'Harga Dasar'!$A$2:$A$29,0))</f>
        <v>OH</v>
      </c>
      <c r="G35" s="10">
        <v>1.5</v>
      </c>
      <c r="H35" s="11">
        <f>INDEX('Harga Dasar'!$E$2:$E$29,MATCH(D35,'Harga Dasar'!$A$2:$A$29,0))</f>
        <v>120000</v>
      </c>
      <c r="I35" s="11">
        <f>G35*H35</f>
        <v>180000</v>
      </c>
    </row>
    <row r="36" spans="4:9" x14ac:dyDescent="0.25">
      <c r="D36" s="9" t="s">
        <v>20</v>
      </c>
      <c r="E36" t="str">
        <f>INDEX('Harga Dasar'!$C$2:$C$29,MATCH(D36,'Harga Dasar'!$A$2:$A$29,0))</f>
        <v>Tukang Batu</v>
      </c>
      <c r="F36" t="str">
        <f>INDEX('Harga Dasar'!$D$2:$D$29,MATCH(D36,'Harga Dasar'!$A$2:$A$29,0))</f>
        <v>OH</v>
      </c>
      <c r="G36" s="10">
        <v>0.75</v>
      </c>
      <c r="H36" s="11">
        <f>INDEX('Harga Dasar'!$E$2:$E$29,MATCH(D36,'Harga Dasar'!$A$2:$A$29,0))</f>
        <v>150000</v>
      </c>
      <c r="I36" s="11">
        <f>G36*H36</f>
        <v>112500</v>
      </c>
    </row>
    <row r="37" spans="4:9" x14ac:dyDescent="0.25">
      <c r="D37" s="9" t="s">
        <v>28</v>
      </c>
      <c r="E37" t="str">
        <f>INDEX('Harga Dasar'!$C$2:$C$29,MATCH(D37,'Harga Dasar'!$A$2:$A$29,0))</f>
        <v>Kepala Tukang</v>
      </c>
      <c r="F37" t="str">
        <f>INDEX('Harga Dasar'!$D$2:$D$29,MATCH(D37,'Harga Dasar'!$A$2:$A$29,0))</f>
        <v>OH</v>
      </c>
      <c r="G37" s="10">
        <v>0.075</v>
      </c>
      <c r="H37" s="11">
        <f>INDEX('Harga Dasar'!$E$2:$E$29,MATCH(D37,'Harga Dasar'!$A$2:$A$29,0))</f>
        <v>165000</v>
      </c>
      <c r="I37" s="11">
        <f>G37*H37</f>
        <v>12375</v>
      </c>
    </row>
    <row r="38" spans="4:9" x14ac:dyDescent="0.25">
      <c r="D38" s="9" t="s">
        <v>30</v>
      </c>
      <c r="E38" t="str">
        <f>INDEX('Harga Dasar'!$C$2:$C$29,MATCH(D38,'Harga Dasar'!$A$2:$A$29,0))</f>
        <v>Mandor</v>
      </c>
      <c r="F38" t="str">
        <f>INDEX('Harga Dasar'!$D$2:$D$29,MATCH(D38,'Harga Dasar'!$A$2:$A$29,0))</f>
        <v>OH</v>
      </c>
      <c r="G38" s="10">
        <v>0.075</v>
      </c>
      <c r="H38" s="11">
        <f>INDEX('Harga Dasar'!$E$2:$E$29,MATCH(D38,'Harga Dasar'!$A$2:$A$29,0))</f>
        <v>175000</v>
      </c>
      <c r="I38" s="11">
        <f>G38*H38</f>
        <v>13125</v>
      </c>
    </row>
    <row r="39" spans="5:9" s="8" customFormat="1" x14ac:dyDescent="0.25">
      <c r="E39" s="8" t="s">
        <v>90</v>
      </c>
      <c r="I39" s="12">
        <f>SUM(I32:I38)</f>
        <v>1096600</v>
      </c>
    </row>
    <row r="40" spans="5:9" x14ac:dyDescent="0.25">
      <c r="E40" t="s">
        <v>91</v>
      </c>
      <c r="G40" s="13">
        <f>Pengaturan!$B$2</f>
        <v>0.1</v>
      </c>
      <c r="I40" s="11">
        <f>I39*G40</f>
        <v>109660</v>
      </c>
    </row>
    <row r="41" spans="1:9" s="8" customFormat="1" x14ac:dyDescent="0.25">
      <c r="A41" s="14"/>
      <c r="B41" s="14"/>
      <c r="C41" s="14"/>
      <c r="D41" s="14"/>
      <c r="E41" s="14" t="s">
        <v>92</v>
      </c>
      <c r="F41" s="14"/>
      <c r="G41" s="14"/>
      <c r="H41" s="14"/>
      <c r="I41" s="15">
        <f>I39+I40</f>
        <v>1206260</v>
      </c>
    </row>
    <row r="43" spans="1:9" s="7" customFormat="1" x14ac:dyDescent="0.25">
      <c r="A43" s="7" t="s">
        <v>100</v>
      </c>
      <c r="B43" s="7"/>
      <c r="C43" s="7"/>
      <c r="D43" s="7"/>
      <c r="E43" s="7"/>
      <c r="F43" s="7"/>
      <c r="G43" s="7"/>
      <c r="H43" s="7"/>
      <c r="I43" s="7"/>
    </row>
    <row r="44" spans="1:3" s="8" customFormat="1" x14ac:dyDescent="0.25">
      <c r="A44" s="8" t="s">
        <v>101</v>
      </c>
      <c r="B44" s="8" t="s">
        <v>102</v>
      </c>
      <c r="C44" s="8" t="s">
        <v>38</v>
      </c>
    </row>
    <row r="45" spans="4:9" x14ac:dyDescent="0.25">
      <c r="D45" s="9" t="s">
        <v>32</v>
      </c>
      <c r="E45" t="str">
        <f>INDEX('Harga Dasar'!$C$2:$C$29,MATCH(D45,'Harga Dasar'!$A$2:$A$29,0))</f>
        <v>Semen Portland (PC)</v>
      </c>
      <c r="F45" t="str">
        <f>INDEX('Harga Dasar'!$D$2:$D$29,MATCH(D45,'Harga Dasar'!$A$2:$A$29,0))</f>
        <v>kg</v>
      </c>
      <c r="G45" s="10">
        <v>326</v>
      </c>
      <c r="H45" s="11">
        <f>INDEX('Harga Dasar'!$E$2:$E$29,MATCH(D45,'Harga Dasar'!$A$2:$A$29,0))</f>
        <v>1400</v>
      </c>
      <c r="I45" s="11">
        <f>G45*H45</f>
        <v>456400</v>
      </c>
    </row>
    <row r="46" spans="4:9" x14ac:dyDescent="0.25">
      <c r="D46" s="9" t="s">
        <v>46</v>
      </c>
      <c r="E46" t="str">
        <f>INDEX('Harga Dasar'!$C$2:$C$29,MATCH(D46,'Harga Dasar'!$A$2:$A$29,0))</f>
        <v>Pasir beton</v>
      </c>
      <c r="F46" t="str">
        <f>INDEX('Harga Dasar'!$D$2:$D$29,MATCH(D46,'Harga Dasar'!$A$2:$A$29,0))</f>
        <v>kg</v>
      </c>
      <c r="G46" s="10">
        <v>760</v>
      </c>
      <c r="H46" s="11">
        <f>INDEX('Harga Dasar'!$E$2:$E$29,MATCH(D46,'Harga Dasar'!$A$2:$A$29,0))</f>
        <v>200</v>
      </c>
      <c r="I46" s="11">
        <f>G46*H46</f>
        <v>152000</v>
      </c>
    </row>
    <row r="47" spans="4:9" x14ac:dyDescent="0.25">
      <c r="D47" s="9" t="s">
        <v>48</v>
      </c>
      <c r="E47" t="str">
        <f>INDEX('Harga Dasar'!$C$2:$C$29,MATCH(D47,'Harga Dasar'!$A$2:$A$29,0))</f>
        <v>Split / kerikil beton</v>
      </c>
      <c r="F47" t="str">
        <f>INDEX('Harga Dasar'!$D$2:$D$29,MATCH(D47,'Harga Dasar'!$A$2:$A$29,0))</f>
        <v>kg</v>
      </c>
      <c r="G47" s="10">
        <v>1029</v>
      </c>
      <c r="H47" s="11">
        <f>INDEX('Harga Dasar'!$E$2:$E$29,MATCH(D47,'Harga Dasar'!$A$2:$A$29,0))</f>
        <v>240</v>
      </c>
      <c r="I47" s="11">
        <f>G47*H47</f>
        <v>246960</v>
      </c>
    </row>
    <row r="48" spans="4:9" x14ac:dyDescent="0.25">
      <c r="D48" s="9" t="s">
        <v>50</v>
      </c>
      <c r="E48" t="str">
        <f>INDEX('Harga Dasar'!$C$2:$C$29,MATCH(D48,'Harga Dasar'!$A$2:$A$29,0))</f>
        <v>Air kerja</v>
      </c>
      <c r="F48" t="str">
        <f>INDEX('Harga Dasar'!$D$2:$D$29,MATCH(D48,'Harga Dasar'!$A$2:$A$29,0))</f>
        <v>L</v>
      </c>
      <c r="G48" s="10">
        <v>215</v>
      </c>
      <c r="H48" s="11">
        <f>INDEX('Harga Dasar'!$E$2:$E$29,MATCH(D48,'Harga Dasar'!$A$2:$A$29,0))</f>
        <v>30</v>
      </c>
      <c r="I48" s="11">
        <f>G48*H48</f>
        <v>6450</v>
      </c>
    </row>
    <row r="49" spans="4:9" x14ac:dyDescent="0.25">
      <c r="D49" s="9" t="s">
        <v>16</v>
      </c>
      <c r="E49" t="str">
        <f>INDEX('Harga Dasar'!$C$2:$C$29,MATCH(D49,'Harga Dasar'!$A$2:$A$29,0))</f>
        <v>Pekerja</v>
      </c>
      <c r="F49" t="str">
        <f>INDEX('Harga Dasar'!$D$2:$D$29,MATCH(D49,'Harga Dasar'!$A$2:$A$29,0))</f>
        <v>OH</v>
      </c>
      <c r="G49" s="10">
        <v>1.65</v>
      </c>
      <c r="H49" s="11">
        <f>INDEX('Harga Dasar'!$E$2:$E$29,MATCH(D49,'Harga Dasar'!$A$2:$A$29,0))</f>
        <v>120000</v>
      </c>
      <c r="I49" s="11">
        <f>G49*H49</f>
        <v>198000</v>
      </c>
    </row>
    <row r="50" spans="4:9" x14ac:dyDescent="0.25">
      <c r="D50" s="9" t="s">
        <v>20</v>
      </c>
      <c r="E50" t="str">
        <f>INDEX('Harga Dasar'!$C$2:$C$29,MATCH(D50,'Harga Dasar'!$A$2:$A$29,0))</f>
        <v>Tukang Batu</v>
      </c>
      <c r="F50" t="str">
        <f>INDEX('Harga Dasar'!$D$2:$D$29,MATCH(D50,'Harga Dasar'!$A$2:$A$29,0))</f>
        <v>OH</v>
      </c>
      <c r="G50" s="10">
        <v>0.275</v>
      </c>
      <c r="H50" s="11">
        <f>INDEX('Harga Dasar'!$E$2:$E$29,MATCH(D50,'Harga Dasar'!$A$2:$A$29,0))</f>
        <v>150000</v>
      </c>
      <c r="I50" s="11">
        <f>G50*H50</f>
        <v>41250</v>
      </c>
    </row>
    <row r="51" spans="4:9" x14ac:dyDescent="0.25">
      <c r="D51" s="9" t="s">
        <v>28</v>
      </c>
      <c r="E51" t="str">
        <f>INDEX('Harga Dasar'!$C$2:$C$29,MATCH(D51,'Harga Dasar'!$A$2:$A$29,0))</f>
        <v>Kepala Tukang</v>
      </c>
      <c r="F51" t="str">
        <f>INDEX('Harga Dasar'!$D$2:$D$29,MATCH(D51,'Harga Dasar'!$A$2:$A$29,0))</f>
        <v>OH</v>
      </c>
      <c r="G51" s="10">
        <v>0.028</v>
      </c>
      <c r="H51" s="11">
        <f>INDEX('Harga Dasar'!$E$2:$E$29,MATCH(D51,'Harga Dasar'!$A$2:$A$29,0))</f>
        <v>165000</v>
      </c>
      <c r="I51" s="11">
        <f>G51*H51</f>
        <v>4620</v>
      </c>
    </row>
    <row r="52" spans="4:9" x14ac:dyDescent="0.25">
      <c r="D52" s="9" t="s">
        <v>30</v>
      </c>
      <c r="E52" t="str">
        <f>INDEX('Harga Dasar'!$C$2:$C$29,MATCH(D52,'Harga Dasar'!$A$2:$A$29,0))</f>
        <v>Mandor</v>
      </c>
      <c r="F52" t="str">
        <f>INDEX('Harga Dasar'!$D$2:$D$29,MATCH(D52,'Harga Dasar'!$A$2:$A$29,0))</f>
        <v>OH</v>
      </c>
      <c r="G52" s="10">
        <v>0.083</v>
      </c>
      <c r="H52" s="11">
        <f>INDEX('Harga Dasar'!$E$2:$E$29,MATCH(D52,'Harga Dasar'!$A$2:$A$29,0))</f>
        <v>175000</v>
      </c>
      <c r="I52" s="11">
        <f>G52*H52</f>
        <v>14525</v>
      </c>
    </row>
    <row r="53" spans="5:9" s="8" customFormat="1" x14ac:dyDescent="0.25">
      <c r="E53" s="8" t="s">
        <v>90</v>
      </c>
      <c r="I53" s="12">
        <f>SUM(I45:I52)</f>
        <v>1120205</v>
      </c>
    </row>
    <row r="54" spans="5:9" x14ac:dyDescent="0.25">
      <c r="E54" t="s">
        <v>91</v>
      </c>
      <c r="G54" s="13">
        <f>Pengaturan!$B$2</f>
        <v>0.1</v>
      </c>
      <c r="I54" s="11">
        <f>I53*G54</f>
        <v>112020.5</v>
      </c>
    </row>
    <row r="55" spans="1:9" s="8" customFormat="1" x14ac:dyDescent="0.25">
      <c r="A55" s="14"/>
      <c r="B55" s="14"/>
      <c r="C55" s="14"/>
      <c r="D55" s="14"/>
      <c r="E55" s="14" t="s">
        <v>92</v>
      </c>
      <c r="F55" s="14"/>
      <c r="G55" s="14"/>
      <c r="H55" s="14"/>
      <c r="I55" s="15">
        <f>I53+I54</f>
        <v>1232225.5</v>
      </c>
    </row>
    <row r="57" spans="1:3" s="8" customFormat="1" x14ac:dyDescent="0.25">
      <c r="A57" s="8" t="s">
        <v>103</v>
      </c>
      <c r="B57" s="8" t="s">
        <v>104</v>
      </c>
      <c r="C57" s="8" t="s">
        <v>38</v>
      </c>
    </row>
    <row r="58" spans="4:9" x14ac:dyDescent="0.25">
      <c r="D58" s="9" t="s">
        <v>32</v>
      </c>
      <c r="E58" t="str">
        <f>INDEX('Harga Dasar'!$C$2:$C$29,MATCH(D58,'Harga Dasar'!$A$2:$A$29,0))</f>
        <v>Semen Portland (PC)</v>
      </c>
      <c r="F58" t="str">
        <f>INDEX('Harga Dasar'!$D$2:$D$29,MATCH(D58,'Harga Dasar'!$A$2:$A$29,0))</f>
        <v>kg</v>
      </c>
      <c r="G58" s="10">
        <v>371</v>
      </c>
      <c r="H58" s="11">
        <f>INDEX('Harga Dasar'!$E$2:$E$29,MATCH(D58,'Harga Dasar'!$A$2:$A$29,0))</f>
        <v>1400</v>
      </c>
      <c r="I58" s="11">
        <f>G58*H58</f>
        <v>519400</v>
      </c>
    </row>
    <row r="59" spans="4:9" x14ac:dyDescent="0.25">
      <c r="D59" s="9" t="s">
        <v>46</v>
      </c>
      <c r="E59" t="str">
        <f>INDEX('Harga Dasar'!$C$2:$C$29,MATCH(D59,'Harga Dasar'!$A$2:$A$29,0))</f>
        <v>Pasir beton</v>
      </c>
      <c r="F59" t="str">
        <f>INDEX('Harga Dasar'!$D$2:$D$29,MATCH(D59,'Harga Dasar'!$A$2:$A$29,0))</f>
        <v>kg</v>
      </c>
      <c r="G59" s="10">
        <v>698</v>
      </c>
      <c r="H59" s="11">
        <f>INDEX('Harga Dasar'!$E$2:$E$29,MATCH(D59,'Harga Dasar'!$A$2:$A$29,0))</f>
        <v>200</v>
      </c>
      <c r="I59" s="11">
        <f>G59*H59</f>
        <v>139600</v>
      </c>
    </row>
    <row r="60" spans="4:9" x14ac:dyDescent="0.25">
      <c r="D60" s="9" t="s">
        <v>48</v>
      </c>
      <c r="E60" t="str">
        <f>INDEX('Harga Dasar'!$C$2:$C$29,MATCH(D60,'Harga Dasar'!$A$2:$A$29,0))</f>
        <v>Split / kerikil beton</v>
      </c>
      <c r="F60" t="str">
        <f>INDEX('Harga Dasar'!$D$2:$D$29,MATCH(D60,'Harga Dasar'!$A$2:$A$29,0))</f>
        <v>kg</v>
      </c>
      <c r="G60" s="10">
        <v>1047</v>
      </c>
      <c r="H60" s="11">
        <f>INDEX('Harga Dasar'!$E$2:$E$29,MATCH(D60,'Harga Dasar'!$A$2:$A$29,0))</f>
        <v>240</v>
      </c>
      <c r="I60" s="11">
        <f>G60*H60</f>
        <v>251280</v>
      </c>
    </row>
    <row r="61" spans="4:9" x14ac:dyDescent="0.25">
      <c r="D61" s="9" t="s">
        <v>50</v>
      </c>
      <c r="E61" t="str">
        <f>INDEX('Harga Dasar'!$C$2:$C$29,MATCH(D61,'Harga Dasar'!$A$2:$A$29,0))</f>
        <v>Air kerja</v>
      </c>
      <c r="F61" t="str">
        <f>INDEX('Harga Dasar'!$D$2:$D$29,MATCH(D61,'Harga Dasar'!$A$2:$A$29,0))</f>
        <v>L</v>
      </c>
      <c r="G61" s="10">
        <v>215</v>
      </c>
      <c r="H61" s="11">
        <f>INDEX('Harga Dasar'!$E$2:$E$29,MATCH(D61,'Harga Dasar'!$A$2:$A$29,0))</f>
        <v>30</v>
      </c>
      <c r="I61" s="11">
        <f>G61*H61</f>
        <v>6450</v>
      </c>
    </row>
    <row r="62" spans="4:9" x14ac:dyDescent="0.25">
      <c r="D62" s="9" t="s">
        <v>16</v>
      </c>
      <c r="E62" t="str">
        <f>INDEX('Harga Dasar'!$C$2:$C$29,MATCH(D62,'Harga Dasar'!$A$2:$A$29,0))</f>
        <v>Pekerja</v>
      </c>
      <c r="F62" t="str">
        <f>INDEX('Harga Dasar'!$D$2:$D$29,MATCH(D62,'Harga Dasar'!$A$2:$A$29,0))</f>
        <v>OH</v>
      </c>
      <c r="G62" s="10">
        <v>1.65</v>
      </c>
      <c r="H62" s="11">
        <f>INDEX('Harga Dasar'!$E$2:$E$29,MATCH(D62,'Harga Dasar'!$A$2:$A$29,0))</f>
        <v>120000</v>
      </c>
      <c r="I62" s="11">
        <f>G62*H62</f>
        <v>198000</v>
      </c>
    </row>
    <row r="63" spans="4:9" x14ac:dyDescent="0.25">
      <c r="D63" s="9" t="s">
        <v>20</v>
      </c>
      <c r="E63" t="str">
        <f>INDEX('Harga Dasar'!$C$2:$C$29,MATCH(D63,'Harga Dasar'!$A$2:$A$29,0))</f>
        <v>Tukang Batu</v>
      </c>
      <c r="F63" t="str">
        <f>INDEX('Harga Dasar'!$D$2:$D$29,MATCH(D63,'Harga Dasar'!$A$2:$A$29,0))</f>
        <v>OH</v>
      </c>
      <c r="G63" s="10">
        <v>0.275</v>
      </c>
      <c r="H63" s="11">
        <f>INDEX('Harga Dasar'!$E$2:$E$29,MATCH(D63,'Harga Dasar'!$A$2:$A$29,0))</f>
        <v>150000</v>
      </c>
      <c r="I63" s="11">
        <f>G63*H63</f>
        <v>41250</v>
      </c>
    </row>
    <row r="64" spans="4:9" x14ac:dyDescent="0.25">
      <c r="D64" s="9" t="s">
        <v>28</v>
      </c>
      <c r="E64" t="str">
        <f>INDEX('Harga Dasar'!$C$2:$C$29,MATCH(D64,'Harga Dasar'!$A$2:$A$29,0))</f>
        <v>Kepala Tukang</v>
      </c>
      <c r="F64" t="str">
        <f>INDEX('Harga Dasar'!$D$2:$D$29,MATCH(D64,'Harga Dasar'!$A$2:$A$29,0))</f>
        <v>OH</v>
      </c>
      <c r="G64" s="10">
        <v>0.028</v>
      </c>
      <c r="H64" s="11">
        <f>INDEX('Harga Dasar'!$E$2:$E$29,MATCH(D64,'Harga Dasar'!$A$2:$A$29,0))</f>
        <v>165000</v>
      </c>
      <c r="I64" s="11">
        <f>G64*H64</f>
        <v>4620</v>
      </c>
    </row>
    <row r="65" spans="4:9" x14ac:dyDescent="0.25">
      <c r="D65" s="9" t="s">
        <v>30</v>
      </c>
      <c r="E65" t="str">
        <f>INDEX('Harga Dasar'!$C$2:$C$29,MATCH(D65,'Harga Dasar'!$A$2:$A$29,0))</f>
        <v>Mandor</v>
      </c>
      <c r="F65" t="str">
        <f>INDEX('Harga Dasar'!$D$2:$D$29,MATCH(D65,'Harga Dasar'!$A$2:$A$29,0))</f>
        <v>OH</v>
      </c>
      <c r="G65" s="10">
        <v>0.083</v>
      </c>
      <c r="H65" s="11">
        <f>INDEX('Harga Dasar'!$E$2:$E$29,MATCH(D65,'Harga Dasar'!$A$2:$A$29,0))</f>
        <v>175000</v>
      </c>
      <c r="I65" s="11">
        <f>G65*H65</f>
        <v>14525</v>
      </c>
    </row>
    <row r="66" spans="5:9" s="8" customFormat="1" x14ac:dyDescent="0.25">
      <c r="E66" s="8" t="s">
        <v>90</v>
      </c>
      <c r="I66" s="12">
        <f>SUM(I58:I65)</f>
        <v>1175125</v>
      </c>
    </row>
    <row r="67" spans="5:9" x14ac:dyDescent="0.25">
      <c r="E67" t="s">
        <v>91</v>
      </c>
      <c r="G67" s="13">
        <f>Pengaturan!$B$2</f>
        <v>0.1</v>
      </c>
      <c r="I67" s="11">
        <f>I66*G67</f>
        <v>117512.5</v>
      </c>
    </row>
    <row r="68" spans="1:9" s="8" customFormat="1" x14ac:dyDescent="0.25">
      <c r="A68" s="14"/>
      <c r="B68" s="14"/>
      <c r="C68" s="14"/>
      <c r="D68" s="14"/>
      <c r="E68" s="14" t="s">
        <v>92</v>
      </c>
      <c r="F68" s="14"/>
      <c r="G68" s="14"/>
      <c r="H68" s="14"/>
      <c r="I68" s="15">
        <f>I66+I67</f>
        <v>1292637.5</v>
      </c>
    </row>
    <row r="70" spans="1:3" s="8" customFormat="1" x14ac:dyDescent="0.25">
      <c r="A70" s="8" t="s">
        <v>105</v>
      </c>
      <c r="B70" s="8" t="s">
        <v>106</v>
      </c>
      <c r="C70" s="8" t="s">
        <v>38</v>
      </c>
    </row>
    <row r="71" spans="4:9" x14ac:dyDescent="0.25">
      <c r="D71" s="9" t="s">
        <v>32</v>
      </c>
      <c r="E71" t="str">
        <f>INDEX('Harga Dasar'!$C$2:$C$29,MATCH(D71,'Harga Dasar'!$A$2:$A$29,0))</f>
        <v>Semen Portland (PC)</v>
      </c>
      <c r="F71" t="str">
        <f>INDEX('Harga Dasar'!$D$2:$D$29,MATCH(D71,'Harga Dasar'!$A$2:$A$29,0))</f>
        <v>kg</v>
      </c>
      <c r="G71" s="10">
        <v>384</v>
      </c>
      <c r="H71" s="11">
        <f>INDEX('Harga Dasar'!$E$2:$E$29,MATCH(D71,'Harga Dasar'!$A$2:$A$29,0))</f>
        <v>1400</v>
      </c>
      <c r="I71" s="11">
        <f>G71*H71</f>
        <v>537600</v>
      </c>
    </row>
    <row r="72" spans="4:9" x14ac:dyDescent="0.25">
      <c r="D72" s="9" t="s">
        <v>46</v>
      </c>
      <c r="E72" t="str">
        <f>INDEX('Harga Dasar'!$C$2:$C$29,MATCH(D72,'Harga Dasar'!$A$2:$A$29,0))</f>
        <v>Pasir beton</v>
      </c>
      <c r="F72" t="str">
        <f>INDEX('Harga Dasar'!$D$2:$D$29,MATCH(D72,'Harga Dasar'!$A$2:$A$29,0))</f>
        <v>kg</v>
      </c>
      <c r="G72" s="10">
        <v>692</v>
      </c>
      <c r="H72" s="11">
        <f>INDEX('Harga Dasar'!$E$2:$E$29,MATCH(D72,'Harga Dasar'!$A$2:$A$29,0))</f>
        <v>200</v>
      </c>
      <c r="I72" s="11">
        <f>G72*H72</f>
        <v>138400</v>
      </c>
    </row>
    <row r="73" spans="4:9" x14ac:dyDescent="0.25">
      <c r="D73" s="9" t="s">
        <v>48</v>
      </c>
      <c r="E73" t="str">
        <f>INDEX('Harga Dasar'!$C$2:$C$29,MATCH(D73,'Harga Dasar'!$A$2:$A$29,0))</f>
        <v>Split / kerikil beton</v>
      </c>
      <c r="F73" t="str">
        <f>INDEX('Harga Dasar'!$D$2:$D$29,MATCH(D73,'Harga Dasar'!$A$2:$A$29,0))</f>
        <v>kg</v>
      </c>
      <c r="G73" s="10">
        <v>1039</v>
      </c>
      <c r="H73" s="11">
        <f>INDEX('Harga Dasar'!$E$2:$E$29,MATCH(D73,'Harga Dasar'!$A$2:$A$29,0))</f>
        <v>240</v>
      </c>
      <c r="I73" s="11">
        <f>G73*H73</f>
        <v>249360</v>
      </c>
    </row>
    <row r="74" spans="4:9" x14ac:dyDescent="0.25">
      <c r="D74" s="9" t="s">
        <v>50</v>
      </c>
      <c r="E74" t="str">
        <f>INDEX('Harga Dasar'!$C$2:$C$29,MATCH(D74,'Harga Dasar'!$A$2:$A$29,0))</f>
        <v>Air kerja</v>
      </c>
      <c r="F74" t="str">
        <f>INDEX('Harga Dasar'!$D$2:$D$29,MATCH(D74,'Harga Dasar'!$A$2:$A$29,0))</f>
        <v>L</v>
      </c>
      <c r="G74" s="10">
        <v>215</v>
      </c>
      <c r="H74" s="11">
        <f>INDEX('Harga Dasar'!$E$2:$E$29,MATCH(D74,'Harga Dasar'!$A$2:$A$29,0))</f>
        <v>30</v>
      </c>
      <c r="I74" s="11">
        <f>G74*H74</f>
        <v>6450</v>
      </c>
    </row>
    <row r="75" spans="4:9" x14ac:dyDescent="0.25">
      <c r="D75" s="9" t="s">
        <v>16</v>
      </c>
      <c r="E75" t="str">
        <f>INDEX('Harga Dasar'!$C$2:$C$29,MATCH(D75,'Harga Dasar'!$A$2:$A$29,0))</f>
        <v>Pekerja</v>
      </c>
      <c r="F75" t="str">
        <f>INDEX('Harga Dasar'!$D$2:$D$29,MATCH(D75,'Harga Dasar'!$A$2:$A$29,0))</f>
        <v>OH</v>
      </c>
      <c r="G75" s="10">
        <v>1.65</v>
      </c>
      <c r="H75" s="11">
        <f>INDEX('Harga Dasar'!$E$2:$E$29,MATCH(D75,'Harga Dasar'!$A$2:$A$29,0))</f>
        <v>120000</v>
      </c>
      <c r="I75" s="11">
        <f>G75*H75</f>
        <v>198000</v>
      </c>
    </row>
    <row r="76" spans="4:9" x14ac:dyDescent="0.25">
      <c r="D76" s="9" t="s">
        <v>20</v>
      </c>
      <c r="E76" t="str">
        <f>INDEX('Harga Dasar'!$C$2:$C$29,MATCH(D76,'Harga Dasar'!$A$2:$A$29,0))</f>
        <v>Tukang Batu</v>
      </c>
      <c r="F76" t="str">
        <f>INDEX('Harga Dasar'!$D$2:$D$29,MATCH(D76,'Harga Dasar'!$A$2:$A$29,0))</f>
        <v>OH</v>
      </c>
      <c r="G76" s="10">
        <v>0.275</v>
      </c>
      <c r="H76" s="11">
        <f>INDEX('Harga Dasar'!$E$2:$E$29,MATCH(D76,'Harga Dasar'!$A$2:$A$29,0))</f>
        <v>150000</v>
      </c>
      <c r="I76" s="11">
        <f>G76*H76</f>
        <v>41250</v>
      </c>
    </row>
    <row r="77" spans="4:9" x14ac:dyDescent="0.25">
      <c r="D77" s="9" t="s">
        <v>28</v>
      </c>
      <c r="E77" t="str">
        <f>INDEX('Harga Dasar'!$C$2:$C$29,MATCH(D77,'Harga Dasar'!$A$2:$A$29,0))</f>
        <v>Kepala Tukang</v>
      </c>
      <c r="F77" t="str">
        <f>INDEX('Harga Dasar'!$D$2:$D$29,MATCH(D77,'Harga Dasar'!$A$2:$A$29,0))</f>
        <v>OH</v>
      </c>
      <c r="G77" s="10">
        <v>0.028</v>
      </c>
      <c r="H77" s="11">
        <f>INDEX('Harga Dasar'!$E$2:$E$29,MATCH(D77,'Harga Dasar'!$A$2:$A$29,0))</f>
        <v>165000</v>
      </c>
      <c r="I77" s="11">
        <f>G77*H77</f>
        <v>4620</v>
      </c>
    </row>
    <row r="78" spans="4:9" x14ac:dyDescent="0.25">
      <c r="D78" s="9" t="s">
        <v>30</v>
      </c>
      <c r="E78" t="str">
        <f>INDEX('Harga Dasar'!$C$2:$C$29,MATCH(D78,'Harga Dasar'!$A$2:$A$29,0))</f>
        <v>Mandor</v>
      </c>
      <c r="F78" t="str">
        <f>INDEX('Harga Dasar'!$D$2:$D$29,MATCH(D78,'Harga Dasar'!$A$2:$A$29,0))</f>
        <v>OH</v>
      </c>
      <c r="G78" s="10">
        <v>0.083</v>
      </c>
      <c r="H78" s="11">
        <f>INDEX('Harga Dasar'!$E$2:$E$29,MATCH(D78,'Harga Dasar'!$A$2:$A$29,0))</f>
        <v>175000</v>
      </c>
      <c r="I78" s="11">
        <f>G78*H78</f>
        <v>14525</v>
      </c>
    </row>
    <row r="79" spans="5:9" s="8" customFormat="1" x14ac:dyDescent="0.25">
      <c r="E79" s="8" t="s">
        <v>90</v>
      </c>
      <c r="I79" s="12">
        <f>SUM(I71:I78)</f>
        <v>1190205</v>
      </c>
    </row>
    <row r="80" spans="5:9" x14ac:dyDescent="0.25">
      <c r="E80" t="s">
        <v>91</v>
      </c>
      <c r="G80" s="13">
        <f>Pengaturan!$B$2</f>
        <v>0.1</v>
      </c>
      <c r="I80" s="11">
        <f>I79*G80</f>
        <v>119020.5</v>
      </c>
    </row>
    <row r="81" spans="1:9" s="8" customFormat="1" x14ac:dyDescent="0.25">
      <c r="A81" s="14"/>
      <c r="B81" s="14"/>
      <c r="C81" s="14"/>
      <c r="D81" s="14"/>
      <c r="E81" s="14" t="s">
        <v>92</v>
      </c>
      <c r="F81" s="14"/>
      <c r="G81" s="14"/>
      <c r="H81" s="14"/>
      <c r="I81" s="15">
        <f>I79+I80</f>
        <v>1309225.5</v>
      </c>
    </row>
    <row r="83" spans="1:3" s="8" customFormat="1" x14ac:dyDescent="0.25">
      <c r="A83" s="8" t="s">
        <v>107</v>
      </c>
      <c r="B83" s="8" t="s">
        <v>108</v>
      </c>
      <c r="C83" s="8" t="s">
        <v>38</v>
      </c>
    </row>
    <row r="84" spans="4:9" x14ac:dyDescent="0.25">
      <c r="D84" s="9" t="s">
        <v>32</v>
      </c>
      <c r="E84" t="str">
        <f>INDEX('Harga Dasar'!$C$2:$C$29,MATCH(D84,'Harga Dasar'!$A$2:$A$29,0))</f>
        <v>Semen Portland (PC)</v>
      </c>
      <c r="F84" t="str">
        <f>INDEX('Harga Dasar'!$D$2:$D$29,MATCH(D84,'Harga Dasar'!$A$2:$A$29,0))</f>
        <v>kg</v>
      </c>
      <c r="G84" s="10">
        <v>413</v>
      </c>
      <c r="H84" s="11">
        <f>INDEX('Harga Dasar'!$E$2:$E$29,MATCH(D84,'Harga Dasar'!$A$2:$A$29,0))</f>
        <v>1400</v>
      </c>
      <c r="I84" s="11">
        <f>G84*H84</f>
        <v>578200</v>
      </c>
    </row>
    <row r="85" spans="4:9" x14ac:dyDescent="0.25">
      <c r="D85" s="9" t="s">
        <v>46</v>
      </c>
      <c r="E85" t="str">
        <f>INDEX('Harga Dasar'!$C$2:$C$29,MATCH(D85,'Harga Dasar'!$A$2:$A$29,0))</f>
        <v>Pasir beton</v>
      </c>
      <c r="F85" t="str">
        <f>INDEX('Harga Dasar'!$D$2:$D$29,MATCH(D85,'Harga Dasar'!$A$2:$A$29,0))</f>
        <v>kg</v>
      </c>
      <c r="G85" s="10">
        <v>681</v>
      </c>
      <c r="H85" s="11">
        <f>INDEX('Harga Dasar'!$E$2:$E$29,MATCH(D85,'Harga Dasar'!$A$2:$A$29,0))</f>
        <v>200</v>
      </c>
      <c r="I85" s="11">
        <f>G85*H85</f>
        <v>136200</v>
      </c>
    </row>
    <row r="86" spans="4:9" x14ac:dyDescent="0.25">
      <c r="D86" s="9" t="s">
        <v>48</v>
      </c>
      <c r="E86" t="str">
        <f>INDEX('Harga Dasar'!$C$2:$C$29,MATCH(D86,'Harga Dasar'!$A$2:$A$29,0))</f>
        <v>Split / kerikil beton</v>
      </c>
      <c r="F86" t="str">
        <f>INDEX('Harga Dasar'!$D$2:$D$29,MATCH(D86,'Harga Dasar'!$A$2:$A$29,0))</f>
        <v>kg</v>
      </c>
      <c r="G86" s="10">
        <v>1021</v>
      </c>
      <c r="H86" s="11">
        <f>INDEX('Harga Dasar'!$E$2:$E$29,MATCH(D86,'Harga Dasar'!$A$2:$A$29,0))</f>
        <v>240</v>
      </c>
      <c r="I86" s="11">
        <f>G86*H86</f>
        <v>245040</v>
      </c>
    </row>
    <row r="87" spans="4:9" x14ac:dyDescent="0.25">
      <c r="D87" s="9" t="s">
        <v>50</v>
      </c>
      <c r="E87" t="str">
        <f>INDEX('Harga Dasar'!$C$2:$C$29,MATCH(D87,'Harga Dasar'!$A$2:$A$29,0))</f>
        <v>Air kerja</v>
      </c>
      <c r="F87" t="str">
        <f>INDEX('Harga Dasar'!$D$2:$D$29,MATCH(D87,'Harga Dasar'!$A$2:$A$29,0))</f>
        <v>L</v>
      </c>
      <c r="G87" s="10">
        <v>215</v>
      </c>
      <c r="H87" s="11">
        <f>INDEX('Harga Dasar'!$E$2:$E$29,MATCH(D87,'Harga Dasar'!$A$2:$A$29,0))</f>
        <v>30</v>
      </c>
      <c r="I87" s="11">
        <f>G87*H87</f>
        <v>6450</v>
      </c>
    </row>
    <row r="88" spans="4:9" x14ac:dyDescent="0.25">
      <c r="D88" s="9" t="s">
        <v>16</v>
      </c>
      <c r="E88" t="str">
        <f>INDEX('Harga Dasar'!$C$2:$C$29,MATCH(D88,'Harga Dasar'!$A$2:$A$29,0))</f>
        <v>Pekerja</v>
      </c>
      <c r="F88" t="str">
        <f>INDEX('Harga Dasar'!$D$2:$D$29,MATCH(D88,'Harga Dasar'!$A$2:$A$29,0))</f>
        <v>OH</v>
      </c>
      <c r="G88" s="10">
        <v>1.65</v>
      </c>
      <c r="H88" s="11">
        <f>INDEX('Harga Dasar'!$E$2:$E$29,MATCH(D88,'Harga Dasar'!$A$2:$A$29,0))</f>
        <v>120000</v>
      </c>
      <c r="I88" s="11">
        <f>G88*H88</f>
        <v>198000</v>
      </c>
    </row>
    <row r="89" spans="4:9" x14ac:dyDescent="0.25">
      <c r="D89" s="9" t="s">
        <v>20</v>
      </c>
      <c r="E89" t="str">
        <f>INDEX('Harga Dasar'!$C$2:$C$29,MATCH(D89,'Harga Dasar'!$A$2:$A$29,0))</f>
        <v>Tukang Batu</v>
      </c>
      <c r="F89" t="str">
        <f>INDEX('Harga Dasar'!$D$2:$D$29,MATCH(D89,'Harga Dasar'!$A$2:$A$29,0))</f>
        <v>OH</v>
      </c>
      <c r="G89" s="10">
        <v>0.275</v>
      </c>
      <c r="H89" s="11">
        <f>INDEX('Harga Dasar'!$E$2:$E$29,MATCH(D89,'Harga Dasar'!$A$2:$A$29,0))</f>
        <v>150000</v>
      </c>
      <c r="I89" s="11">
        <f>G89*H89</f>
        <v>41250</v>
      </c>
    </row>
    <row r="90" spans="4:9" x14ac:dyDescent="0.25">
      <c r="D90" s="9" t="s">
        <v>28</v>
      </c>
      <c r="E90" t="str">
        <f>INDEX('Harga Dasar'!$C$2:$C$29,MATCH(D90,'Harga Dasar'!$A$2:$A$29,0))</f>
        <v>Kepala Tukang</v>
      </c>
      <c r="F90" t="str">
        <f>INDEX('Harga Dasar'!$D$2:$D$29,MATCH(D90,'Harga Dasar'!$A$2:$A$29,0))</f>
        <v>OH</v>
      </c>
      <c r="G90" s="10">
        <v>0.028</v>
      </c>
      <c r="H90" s="11">
        <f>INDEX('Harga Dasar'!$E$2:$E$29,MATCH(D90,'Harga Dasar'!$A$2:$A$29,0))</f>
        <v>165000</v>
      </c>
      <c r="I90" s="11">
        <f>G90*H90</f>
        <v>4620</v>
      </c>
    </row>
    <row r="91" spans="4:9" x14ac:dyDescent="0.25">
      <c r="D91" s="9" t="s">
        <v>30</v>
      </c>
      <c r="E91" t="str">
        <f>INDEX('Harga Dasar'!$C$2:$C$29,MATCH(D91,'Harga Dasar'!$A$2:$A$29,0))</f>
        <v>Mandor</v>
      </c>
      <c r="F91" t="str">
        <f>INDEX('Harga Dasar'!$D$2:$D$29,MATCH(D91,'Harga Dasar'!$A$2:$A$29,0))</f>
        <v>OH</v>
      </c>
      <c r="G91" s="10">
        <v>0.083</v>
      </c>
      <c r="H91" s="11">
        <f>INDEX('Harga Dasar'!$E$2:$E$29,MATCH(D91,'Harga Dasar'!$A$2:$A$29,0))</f>
        <v>175000</v>
      </c>
      <c r="I91" s="11">
        <f>G91*H91</f>
        <v>14525</v>
      </c>
    </row>
    <row r="92" spans="5:9" s="8" customFormat="1" x14ac:dyDescent="0.25">
      <c r="E92" s="8" t="s">
        <v>90</v>
      </c>
      <c r="I92" s="12">
        <f>SUM(I84:I91)</f>
        <v>1224285</v>
      </c>
    </row>
    <row r="93" spans="5:9" x14ac:dyDescent="0.25">
      <c r="E93" t="s">
        <v>91</v>
      </c>
      <c r="G93" s="13">
        <f>Pengaturan!$B$2</f>
        <v>0.1</v>
      </c>
      <c r="I93" s="11">
        <f>I92*G93</f>
        <v>122428.5</v>
      </c>
    </row>
    <row r="94" spans="1:9" s="8" customFormat="1" x14ac:dyDescent="0.25">
      <c r="A94" s="14"/>
      <c r="B94" s="14"/>
      <c r="C94" s="14"/>
      <c r="D94" s="14"/>
      <c r="E94" s="14" t="s">
        <v>92</v>
      </c>
      <c r="F94" s="14"/>
      <c r="G94" s="14"/>
      <c r="H94" s="14"/>
      <c r="I94" s="15">
        <f>I92+I93</f>
        <v>1346713.5</v>
      </c>
    </row>
    <row r="96" spans="1:3" s="8" customFormat="1" x14ac:dyDescent="0.25">
      <c r="A96" s="8" t="s">
        <v>109</v>
      </c>
      <c r="B96" s="8" t="s">
        <v>110</v>
      </c>
      <c r="C96" s="8" t="s">
        <v>111</v>
      </c>
    </row>
    <row r="97" spans="4:9" x14ac:dyDescent="0.25">
      <c r="D97" s="9" t="s">
        <v>53</v>
      </c>
      <c r="E97" t="str">
        <f>INDEX('Harga Dasar'!$C$2:$C$29,MATCH(D97,'Harga Dasar'!$A$2:$A$29,0))</f>
        <v>Besi beton</v>
      </c>
      <c r="F97" t="str">
        <f>INDEX('Harga Dasar'!$D$2:$D$29,MATCH(D97,'Harga Dasar'!$A$2:$A$29,0))</f>
        <v>kg</v>
      </c>
      <c r="G97" s="10">
        <v>10.5</v>
      </c>
      <c r="H97" s="11">
        <f>INDEX('Harga Dasar'!$E$2:$E$29,MATCH(D97,'Harga Dasar'!$A$2:$A$29,0))</f>
        <v>14500</v>
      </c>
      <c r="I97" s="11">
        <f>G97*H97</f>
        <v>152250</v>
      </c>
    </row>
    <row r="98" spans="4:9" x14ac:dyDescent="0.25">
      <c r="D98" s="9" t="s">
        <v>55</v>
      </c>
      <c r="E98" t="str">
        <f>INDEX('Harga Dasar'!$C$2:$C$29,MATCH(D98,'Harga Dasar'!$A$2:$A$29,0))</f>
        <v>Kawat beton</v>
      </c>
      <c r="F98" t="str">
        <f>INDEX('Harga Dasar'!$D$2:$D$29,MATCH(D98,'Harga Dasar'!$A$2:$A$29,0))</f>
        <v>kg</v>
      </c>
      <c r="G98" s="10">
        <v>0.15</v>
      </c>
      <c r="H98" s="11">
        <f>INDEX('Harga Dasar'!$E$2:$E$29,MATCH(D98,'Harga Dasar'!$A$2:$A$29,0))</f>
        <v>22000</v>
      </c>
      <c r="I98" s="11">
        <f>G98*H98</f>
        <v>3300</v>
      </c>
    </row>
    <row r="99" spans="4:9" x14ac:dyDescent="0.25">
      <c r="D99" s="9" t="s">
        <v>16</v>
      </c>
      <c r="E99" t="str">
        <f>INDEX('Harga Dasar'!$C$2:$C$29,MATCH(D99,'Harga Dasar'!$A$2:$A$29,0))</f>
        <v>Pekerja</v>
      </c>
      <c r="F99" t="str">
        <f>INDEX('Harga Dasar'!$D$2:$D$29,MATCH(D99,'Harga Dasar'!$A$2:$A$29,0))</f>
        <v>OH</v>
      </c>
      <c r="G99" s="10">
        <v>0.07</v>
      </c>
      <c r="H99" s="11">
        <f>INDEX('Harga Dasar'!$E$2:$E$29,MATCH(D99,'Harga Dasar'!$A$2:$A$29,0))</f>
        <v>120000</v>
      </c>
      <c r="I99" s="11">
        <f>G99*H99</f>
        <v>8400</v>
      </c>
    </row>
    <row r="100" spans="4:9" x14ac:dyDescent="0.25">
      <c r="D100" s="9" t="s">
        <v>24</v>
      </c>
      <c r="E100" t="str">
        <f>INDEX('Harga Dasar'!$C$2:$C$29,MATCH(D100,'Harga Dasar'!$A$2:$A$29,0))</f>
        <v>Tukang Besi</v>
      </c>
      <c r="F100" t="str">
        <f>INDEX('Harga Dasar'!$D$2:$D$29,MATCH(D100,'Harga Dasar'!$A$2:$A$29,0))</f>
        <v>OH</v>
      </c>
      <c r="G100" s="10">
        <v>0.07</v>
      </c>
      <c r="H100" s="11">
        <f>INDEX('Harga Dasar'!$E$2:$E$29,MATCH(D100,'Harga Dasar'!$A$2:$A$29,0))</f>
        <v>150000</v>
      </c>
      <c r="I100" s="11">
        <f>G100*H100</f>
        <v>10500.000000000002</v>
      </c>
    </row>
    <row r="101" spans="4:9" x14ac:dyDescent="0.25">
      <c r="D101" s="9" t="s">
        <v>28</v>
      </c>
      <c r="E101" t="str">
        <f>INDEX('Harga Dasar'!$C$2:$C$29,MATCH(D101,'Harga Dasar'!$A$2:$A$29,0))</f>
        <v>Kepala Tukang</v>
      </c>
      <c r="F101" t="str">
        <f>INDEX('Harga Dasar'!$D$2:$D$29,MATCH(D101,'Harga Dasar'!$A$2:$A$29,0))</f>
        <v>OH</v>
      </c>
      <c r="G101" s="10">
        <v>0.007</v>
      </c>
      <c r="H101" s="11">
        <f>INDEX('Harga Dasar'!$E$2:$E$29,MATCH(D101,'Harga Dasar'!$A$2:$A$29,0))</f>
        <v>165000</v>
      </c>
      <c r="I101" s="11">
        <f>G101*H101</f>
        <v>1155</v>
      </c>
    </row>
    <row r="102" spans="4:9" x14ac:dyDescent="0.25">
      <c r="D102" s="9" t="s">
        <v>30</v>
      </c>
      <c r="E102" t="str">
        <f>INDEX('Harga Dasar'!$C$2:$C$29,MATCH(D102,'Harga Dasar'!$A$2:$A$29,0))</f>
        <v>Mandor</v>
      </c>
      <c r="F102" t="str">
        <f>INDEX('Harga Dasar'!$D$2:$D$29,MATCH(D102,'Harga Dasar'!$A$2:$A$29,0))</f>
        <v>OH</v>
      </c>
      <c r="G102" s="10">
        <v>0.004</v>
      </c>
      <c r="H102" s="11">
        <f>INDEX('Harga Dasar'!$E$2:$E$29,MATCH(D102,'Harga Dasar'!$A$2:$A$29,0))</f>
        <v>175000</v>
      </c>
      <c r="I102" s="11">
        <f>G102*H102</f>
        <v>700</v>
      </c>
    </row>
    <row r="103" spans="5:9" s="8" customFormat="1" x14ac:dyDescent="0.25">
      <c r="E103" s="8" t="s">
        <v>90</v>
      </c>
      <c r="I103" s="12">
        <f>SUM(I97:I102)</f>
        <v>176305</v>
      </c>
    </row>
    <row r="104" spans="5:9" x14ac:dyDescent="0.25">
      <c r="E104" t="s">
        <v>91</v>
      </c>
      <c r="G104" s="13">
        <f>Pengaturan!$B$2</f>
        <v>0.1</v>
      </c>
      <c r="I104" s="11">
        <f>I103*G104</f>
        <v>17630.5</v>
      </c>
    </row>
    <row r="105" spans="1:9" s="8" customFormat="1" x14ac:dyDescent="0.25">
      <c r="A105" s="14"/>
      <c r="B105" s="14"/>
      <c r="C105" s="14"/>
      <c r="D105" s="14"/>
      <c r="E105" s="14" t="s">
        <v>112</v>
      </c>
      <c r="F105" s="14"/>
      <c r="G105" s="14"/>
      <c r="H105" s="14"/>
      <c r="I105" s="15">
        <f>I103+I104</f>
        <v>193935.5</v>
      </c>
    </row>
    <row r="107" spans="1:3" s="8" customFormat="1" x14ac:dyDescent="0.25">
      <c r="A107" s="8" t="s">
        <v>113</v>
      </c>
      <c r="B107" s="8" t="s">
        <v>114</v>
      </c>
      <c r="C107" s="8" t="s">
        <v>115</v>
      </c>
    </row>
    <row r="108" spans="4:9" x14ac:dyDescent="0.25">
      <c r="D108" s="9" t="s">
        <v>57</v>
      </c>
      <c r="E108" t="str">
        <f>INDEX('Harga Dasar'!$C$2:$C$29,MATCH(D108,'Harga Dasar'!$A$2:$A$29,0))</f>
        <v>Kayu kelas III (bekisting)</v>
      </c>
      <c r="F108" t="str">
        <f>INDEX('Harga Dasar'!$D$2:$D$29,MATCH(D108,'Harga Dasar'!$A$2:$A$29,0))</f>
        <v>m3</v>
      </c>
      <c r="G108" s="10">
        <v>0.04</v>
      </c>
      <c r="H108" s="11">
        <f>INDEX('Harga Dasar'!$E$2:$E$29,MATCH(D108,'Harga Dasar'!$A$2:$A$29,0))</f>
        <v>3500000</v>
      </c>
      <c r="I108" s="11">
        <f>G108*H108</f>
        <v>140000</v>
      </c>
    </row>
    <row r="109" spans="4:9" x14ac:dyDescent="0.25">
      <c r="D109" s="9" t="s">
        <v>59</v>
      </c>
      <c r="E109" t="str">
        <f>INDEX('Harga Dasar'!$C$2:$C$29,MATCH(D109,'Harga Dasar'!$A$2:$A$29,0))</f>
        <v>Paku 5-12 cm</v>
      </c>
      <c r="F109" t="str">
        <f>INDEX('Harga Dasar'!$D$2:$D$29,MATCH(D109,'Harga Dasar'!$A$2:$A$29,0))</f>
        <v>kg</v>
      </c>
      <c r="G109" s="10">
        <v>0.4</v>
      </c>
      <c r="H109" s="11">
        <f>INDEX('Harga Dasar'!$E$2:$E$29,MATCH(D109,'Harga Dasar'!$A$2:$A$29,0))</f>
        <v>20000</v>
      </c>
      <c r="I109" s="11">
        <f>G109*H109</f>
        <v>8000</v>
      </c>
    </row>
    <row r="110" spans="4:9" x14ac:dyDescent="0.25">
      <c r="D110" s="9" t="s">
        <v>61</v>
      </c>
      <c r="E110" t="str">
        <f>INDEX('Harga Dasar'!$C$2:$C$29,MATCH(D110,'Harga Dasar'!$A$2:$A$29,0))</f>
        <v>Minyak bekisting</v>
      </c>
      <c r="F110" t="str">
        <f>INDEX('Harga Dasar'!$D$2:$D$29,MATCH(D110,'Harga Dasar'!$A$2:$A$29,0))</f>
        <v>L</v>
      </c>
      <c r="G110" s="10">
        <v>0.2</v>
      </c>
      <c r="H110" s="11">
        <f>INDEX('Harga Dasar'!$E$2:$E$29,MATCH(D110,'Harga Dasar'!$A$2:$A$29,0))</f>
        <v>25000</v>
      </c>
      <c r="I110" s="11">
        <f>G110*H110</f>
        <v>5000</v>
      </c>
    </row>
    <row r="111" spans="4:9" x14ac:dyDescent="0.25">
      <c r="D111" s="9" t="s">
        <v>63</v>
      </c>
      <c r="E111" t="str">
        <f>INDEX('Harga Dasar'!$C$2:$C$29,MATCH(D111,'Harga Dasar'!$A$2:$A$29,0))</f>
        <v>Balok kayu kelas II</v>
      </c>
      <c r="F111" t="str">
        <f>INDEX('Harga Dasar'!$D$2:$D$29,MATCH(D111,'Harga Dasar'!$A$2:$A$29,0))</f>
        <v>m3</v>
      </c>
      <c r="G111" s="10">
        <v>0.015</v>
      </c>
      <c r="H111" s="11">
        <f>INDEX('Harga Dasar'!$E$2:$E$29,MATCH(D111,'Harga Dasar'!$A$2:$A$29,0))</f>
        <v>4500000</v>
      </c>
      <c r="I111" s="11">
        <f>G111*H111</f>
        <v>67500</v>
      </c>
    </row>
    <row r="112" spans="4:9" x14ac:dyDescent="0.25">
      <c r="D112" s="9" t="s">
        <v>65</v>
      </c>
      <c r="E112" t="str">
        <f>INDEX('Harga Dasar'!$C$2:$C$29,MATCH(D112,'Harga Dasar'!$A$2:$A$29,0))</f>
        <v>Plywood 9 mm</v>
      </c>
      <c r="F112" t="str">
        <f>INDEX('Harga Dasar'!$D$2:$D$29,MATCH(D112,'Harga Dasar'!$A$2:$A$29,0))</f>
        <v>lbr</v>
      </c>
      <c r="G112" s="10">
        <v>0.35</v>
      </c>
      <c r="H112" s="11">
        <f>INDEX('Harga Dasar'!$E$2:$E$29,MATCH(D112,'Harga Dasar'!$A$2:$A$29,0))</f>
        <v>150000</v>
      </c>
      <c r="I112" s="11">
        <f>G112*H112</f>
        <v>52500</v>
      </c>
    </row>
    <row r="113" spans="4:9" x14ac:dyDescent="0.25">
      <c r="D113" s="9" t="s">
        <v>68</v>
      </c>
      <c r="E113" t="str">
        <f>INDEX('Harga Dasar'!$C$2:$C$29,MATCH(D113,'Harga Dasar'!$A$2:$A$29,0))</f>
        <v>Dolken kayu</v>
      </c>
      <c r="F113" t="str">
        <f>INDEX('Harga Dasar'!$D$2:$D$29,MATCH(D113,'Harga Dasar'!$A$2:$A$29,0))</f>
        <v>btg</v>
      </c>
      <c r="G113" s="10">
        <v>2</v>
      </c>
      <c r="H113" s="11">
        <f>INDEX('Harga Dasar'!$E$2:$E$29,MATCH(D113,'Harga Dasar'!$A$2:$A$29,0))</f>
        <v>15000</v>
      </c>
      <c r="I113" s="11">
        <f>G113*H113</f>
        <v>30000</v>
      </c>
    </row>
    <row r="114" spans="4:9" x14ac:dyDescent="0.25">
      <c r="D114" s="9" t="s">
        <v>16</v>
      </c>
      <c r="E114" t="str">
        <f>INDEX('Harga Dasar'!$C$2:$C$29,MATCH(D114,'Harga Dasar'!$A$2:$A$29,0))</f>
        <v>Pekerja</v>
      </c>
      <c r="F114" t="str">
        <f>INDEX('Harga Dasar'!$D$2:$D$29,MATCH(D114,'Harga Dasar'!$A$2:$A$29,0))</f>
        <v>OH</v>
      </c>
      <c r="G114" s="10">
        <v>0.52</v>
      </c>
      <c r="H114" s="11">
        <f>INDEX('Harga Dasar'!$E$2:$E$29,MATCH(D114,'Harga Dasar'!$A$2:$A$29,0))</f>
        <v>120000</v>
      </c>
      <c r="I114" s="11">
        <f>G114*H114</f>
        <v>62400</v>
      </c>
    </row>
    <row r="115" spans="4:9" x14ac:dyDescent="0.25">
      <c r="D115" s="9" t="s">
        <v>22</v>
      </c>
      <c r="E115" t="str">
        <f>INDEX('Harga Dasar'!$C$2:$C$29,MATCH(D115,'Harga Dasar'!$A$2:$A$29,0))</f>
        <v>Tukang Kayu</v>
      </c>
      <c r="F115" t="str">
        <f>INDEX('Harga Dasar'!$D$2:$D$29,MATCH(D115,'Harga Dasar'!$A$2:$A$29,0))</f>
        <v>OH</v>
      </c>
      <c r="G115" s="10">
        <v>0.26</v>
      </c>
      <c r="H115" s="11">
        <f>INDEX('Harga Dasar'!$E$2:$E$29,MATCH(D115,'Harga Dasar'!$A$2:$A$29,0))</f>
        <v>150000</v>
      </c>
      <c r="I115" s="11">
        <f>G115*H115</f>
        <v>39000</v>
      </c>
    </row>
    <row r="116" spans="4:9" x14ac:dyDescent="0.25">
      <c r="D116" s="9" t="s">
        <v>28</v>
      </c>
      <c r="E116" t="str">
        <f>INDEX('Harga Dasar'!$C$2:$C$29,MATCH(D116,'Harga Dasar'!$A$2:$A$29,0))</f>
        <v>Kepala Tukang</v>
      </c>
      <c r="F116" t="str">
        <f>INDEX('Harga Dasar'!$D$2:$D$29,MATCH(D116,'Harga Dasar'!$A$2:$A$29,0))</f>
        <v>OH</v>
      </c>
      <c r="G116" s="10">
        <v>0.026</v>
      </c>
      <c r="H116" s="11">
        <f>INDEX('Harga Dasar'!$E$2:$E$29,MATCH(D116,'Harga Dasar'!$A$2:$A$29,0))</f>
        <v>165000</v>
      </c>
      <c r="I116" s="11">
        <f>G116*H116</f>
        <v>4290</v>
      </c>
    </row>
    <row r="117" spans="4:9" x14ac:dyDescent="0.25">
      <c r="D117" s="9" t="s">
        <v>30</v>
      </c>
      <c r="E117" t="str">
        <f>INDEX('Harga Dasar'!$C$2:$C$29,MATCH(D117,'Harga Dasar'!$A$2:$A$29,0))</f>
        <v>Mandor</v>
      </c>
      <c r="F117" t="str">
        <f>INDEX('Harga Dasar'!$D$2:$D$29,MATCH(D117,'Harga Dasar'!$A$2:$A$29,0))</f>
        <v>OH</v>
      </c>
      <c r="G117" s="10">
        <v>0.026</v>
      </c>
      <c r="H117" s="11">
        <f>INDEX('Harga Dasar'!$E$2:$E$29,MATCH(D117,'Harga Dasar'!$A$2:$A$29,0))</f>
        <v>175000</v>
      </c>
      <c r="I117" s="11">
        <f>G117*H117</f>
        <v>4550</v>
      </c>
    </row>
    <row r="118" spans="5:9" s="8" customFormat="1" x14ac:dyDescent="0.25">
      <c r="E118" s="8" t="s">
        <v>90</v>
      </c>
      <c r="I118" s="12">
        <f>SUM(I108:I117)</f>
        <v>413240</v>
      </c>
    </row>
    <row r="119" spans="5:9" x14ac:dyDescent="0.25">
      <c r="E119" t="s">
        <v>91</v>
      </c>
      <c r="G119" s="13">
        <f>Pengaturan!$B$2</f>
        <v>0.1</v>
      </c>
      <c r="I119" s="11">
        <f>I118*G119</f>
        <v>41324</v>
      </c>
    </row>
    <row r="120" spans="1:9" s="8" customFormat="1" x14ac:dyDescent="0.25">
      <c r="A120" s="14"/>
      <c r="B120" s="14"/>
      <c r="C120" s="14"/>
      <c r="D120" s="14"/>
      <c r="E120" s="14" t="s">
        <v>116</v>
      </c>
      <c r="F120" s="14"/>
      <c r="G120" s="14"/>
      <c r="H120" s="14"/>
      <c r="I120" s="15">
        <f>I118+I119</f>
        <v>454564</v>
      </c>
    </row>
    <row r="122" spans="1:9" s="7" customFormat="1" x14ac:dyDescent="0.25">
      <c r="A122" s="7" t="s">
        <v>117</v>
      </c>
      <c r="B122" s="7"/>
      <c r="C122" s="7"/>
      <c r="D122" s="7"/>
      <c r="E122" s="7"/>
      <c r="F122" s="7"/>
      <c r="G122" s="7"/>
      <c r="H122" s="7"/>
      <c r="I122" s="7"/>
    </row>
    <row r="123" spans="1:3" s="8" customFormat="1" x14ac:dyDescent="0.25">
      <c r="A123" s="8" t="s">
        <v>118</v>
      </c>
      <c r="B123" s="8" t="s">
        <v>119</v>
      </c>
      <c r="C123" s="8" t="s">
        <v>115</v>
      </c>
    </row>
    <row r="124" spans="4:9" x14ac:dyDescent="0.25">
      <c r="D124" s="9" t="s">
        <v>41</v>
      </c>
      <c r="E124" t="str">
        <f>INDEX('Harga Dasar'!$C$2:$C$29,MATCH(D124,'Harga Dasar'!$A$2:$A$29,0))</f>
        <v>Bata merah</v>
      </c>
      <c r="F124" t="str">
        <f>INDEX('Harga Dasar'!$D$2:$D$29,MATCH(D124,'Harga Dasar'!$A$2:$A$29,0))</f>
        <v>bh</v>
      </c>
      <c r="G124" s="10">
        <v>70</v>
      </c>
      <c r="H124" s="11">
        <f>INDEX('Harga Dasar'!$E$2:$E$29,MATCH(D124,'Harga Dasar'!$A$2:$A$29,0))</f>
        <v>900</v>
      </c>
      <c r="I124" s="11">
        <f>G124*H124</f>
        <v>63000</v>
      </c>
    </row>
    <row r="125" spans="4:9" x14ac:dyDescent="0.25">
      <c r="D125" s="9" t="s">
        <v>32</v>
      </c>
      <c r="E125" t="str">
        <f>INDEX('Harga Dasar'!$C$2:$C$29,MATCH(D125,'Harga Dasar'!$A$2:$A$29,0))</f>
        <v>Semen Portland (PC)</v>
      </c>
      <c r="F125" t="str">
        <f>INDEX('Harga Dasar'!$D$2:$D$29,MATCH(D125,'Harga Dasar'!$A$2:$A$29,0))</f>
        <v>kg</v>
      </c>
      <c r="G125" s="10">
        <v>11.5</v>
      </c>
      <c r="H125" s="11">
        <f>INDEX('Harga Dasar'!$E$2:$E$29,MATCH(D125,'Harga Dasar'!$A$2:$A$29,0))</f>
        <v>1400</v>
      </c>
      <c r="I125" s="11">
        <f>G125*H125</f>
        <v>16100</v>
      </c>
    </row>
    <row r="126" spans="4:9" x14ac:dyDescent="0.25">
      <c r="D126" s="9" t="s">
        <v>36</v>
      </c>
      <c r="E126" t="str">
        <f>INDEX('Harga Dasar'!$C$2:$C$29,MATCH(D126,'Harga Dasar'!$A$2:$A$29,0))</f>
        <v>Pasir pasang</v>
      </c>
      <c r="F126" t="str">
        <f>INDEX('Harga Dasar'!$D$2:$D$29,MATCH(D126,'Harga Dasar'!$A$2:$A$29,0))</f>
        <v>m3</v>
      </c>
      <c r="G126" s="10">
        <v>0.043</v>
      </c>
      <c r="H126" s="11">
        <f>INDEX('Harga Dasar'!$E$2:$E$29,MATCH(D126,'Harga Dasar'!$A$2:$A$29,0))</f>
        <v>280000</v>
      </c>
      <c r="I126" s="11">
        <f>G126*H126</f>
        <v>12039.999999999998</v>
      </c>
    </row>
    <row r="127" spans="4:9" x14ac:dyDescent="0.25">
      <c r="D127" s="9" t="s">
        <v>16</v>
      </c>
      <c r="E127" t="str">
        <f>INDEX('Harga Dasar'!$C$2:$C$29,MATCH(D127,'Harga Dasar'!$A$2:$A$29,0))</f>
        <v>Pekerja</v>
      </c>
      <c r="F127" t="str">
        <f>INDEX('Harga Dasar'!$D$2:$D$29,MATCH(D127,'Harga Dasar'!$A$2:$A$29,0))</f>
        <v>OH</v>
      </c>
      <c r="G127" s="10">
        <v>0.3</v>
      </c>
      <c r="H127" s="11">
        <f>INDEX('Harga Dasar'!$E$2:$E$29,MATCH(D127,'Harga Dasar'!$A$2:$A$29,0))</f>
        <v>120000</v>
      </c>
      <c r="I127" s="11">
        <f>G127*H127</f>
        <v>36000</v>
      </c>
    </row>
    <row r="128" spans="4:9" x14ac:dyDescent="0.25">
      <c r="D128" s="9" t="s">
        <v>20</v>
      </c>
      <c r="E128" t="str">
        <f>INDEX('Harga Dasar'!$C$2:$C$29,MATCH(D128,'Harga Dasar'!$A$2:$A$29,0))</f>
        <v>Tukang Batu</v>
      </c>
      <c r="F128" t="str">
        <f>INDEX('Harga Dasar'!$D$2:$D$29,MATCH(D128,'Harga Dasar'!$A$2:$A$29,0))</f>
        <v>OH</v>
      </c>
      <c r="G128" s="10">
        <v>0.1</v>
      </c>
      <c r="H128" s="11">
        <f>INDEX('Harga Dasar'!$E$2:$E$29,MATCH(D128,'Harga Dasar'!$A$2:$A$29,0))</f>
        <v>150000</v>
      </c>
      <c r="I128" s="11">
        <f>G128*H128</f>
        <v>15000</v>
      </c>
    </row>
    <row r="129" spans="4:9" x14ac:dyDescent="0.25">
      <c r="D129" s="9" t="s">
        <v>28</v>
      </c>
      <c r="E129" t="str">
        <f>INDEX('Harga Dasar'!$C$2:$C$29,MATCH(D129,'Harga Dasar'!$A$2:$A$29,0))</f>
        <v>Kepala Tukang</v>
      </c>
      <c r="F129" t="str">
        <f>INDEX('Harga Dasar'!$D$2:$D$29,MATCH(D129,'Harga Dasar'!$A$2:$A$29,0))</f>
        <v>OH</v>
      </c>
      <c r="G129" s="10">
        <v>0.01</v>
      </c>
      <c r="H129" s="11">
        <f>INDEX('Harga Dasar'!$E$2:$E$29,MATCH(D129,'Harga Dasar'!$A$2:$A$29,0))</f>
        <v>165000</v>
      </c>
      <c r="I129" s="11">
        <f>G129*H129</f>
        <v>1650</v>
      </c>
    </row>
    <row r="130" spans="4:9" x14ac:dyDescent="0.25">
      <c r="D130" s="9" t="s">
        <v>30</v>
      </c>
      <c r="E130" t="str">
        <f>INDEX('Harga Dasar'!$C$2:$C$29,MATCH(D130,'Harga Dasar'!$A$2:$A$29,0))</f>
        <v>Mandor</v>
      </c>
      <c r="F130" t="str">
        <f>INDEX('Harga Dasar'!$D$2:$D$29,MATCH(D130,'Harga Dasar'!$A$2:$A$29,0))</f>
        <v>OH</v>
      </c>
      <c r="G130" s="10">
        <v>0.015</v>
      </c>
      <c r="H130" s="11">
        <f>INDEX('Harga Dasar'!$E$2:$E$29,MATCH(D130,'Harga Dasar'!$A$2:$A$29,0))</f>
        <v>175000</v>
      </c>
      <c r="I130" s="11">
        <f>G130*H130</f>
        <v>2625</v>
      </c>
    </row>
    <row r="131" spans="5:9" s="8" customFormat="1" x14ac:dyDescent="0.25">
      <c r="E131" s="8" t="s">
        <v>90</v>
      </c>
      <c r="I131" s="12">
        <f>SUM(I124:I130)</f>
        <v>146415</v>
      </c>
    </row>
    <row r="132" spans="5:9" x14ac:dyDescent="0.25">
      <c r="E132" t="s">
        <v>91</v>
      </c>
      <c r="G132" s="13">
        <f>Pengaturan!$B$2</f>
        <v>0.1</v>
      </c>
      <c r="I132" s="11">
        <f>I131*G132</f>
        <v>14641.5</v>
      </c>
    </row>
    <row r="133" spans="1:9" s="8" customFormat="1" x14ac:dyDescent="0.25">
      <c r="A133" s="14"/>
      <c r="B133" s="14"/>
      <c r="C133" s="14"/>
      <c r="D133" s="14"/>
      <c r="E133" s="14" t="s">
        <v>116</v>
      </c>
      <c r="F133" s="14"/>
      <c r="G133" s="14"/>
      <c r="H133" s="14"/>
      <c r="I133" s="15">
        <f>I131+I132</f>
        <v>161056.5</v>
      </c>
    </row>
    <row r="135" spans="1:3" s="8" customFormat="1" x14ac:dyDescent="0.25">
      <c r="A135" s="8" t="s">
        <v>120</v>
      </c>
      <c r="B135" s="8" t="s">
        <v>121</v>
      </c>
      <c r="C135" s="8" t="s">
        <v>115</v>
      </c>
    </row>
    <row r="136" spans="4:9" x14ac:dyDescent="0.25">
      <c r="D136" s="9" t="s">
        <v>32</v>
      </c>
      <c r="E136" t="str">
        <f>INDEX('Harga Dasar'!$C$2:$C$29,MATCH(D136,'Harga Dasar'!$A$2:$A$29,0))</f>
        <v>Semen Portland (PC)</v>
      </c>
      <c r="F136" t="str">
        <f>INDEX('Harga Dasar'!$D$2:$D$29,MATCH(D136,'Harga Dasar'!$A$2:$A$29,0))</f>
        <v>kg</v>
      </c>
      <c r="G136" s="10">
        <v>6.24</v>
      </c>
      <c r="H136" s="11">
        <f>INDEX('Harga Dasar'!$E$2:$E$29,MATCH(D136,'Harga Dasar'!$A$2:$A$29,0))</f>
        <v>1400</v>
      </c>
      <c r="I136" s="11">
        <f>G136*H136</f>
        <v>8736</v>
      </c>
    </row>
    <row r="137" spans="4:9" x14ac:dyDescent="0.25">
      <c r="D137" s="9" t="s">
        <v>36</v>
      </c>
      <c r="E137" t="str">
        <f>INDEX('Harga Dasar'!$C$2:$C$29,MATCH(D137,'Harga Dasar'!$A$2:$A$29,0))</f>
        <v>Pasir pasang</v>
      </c>
      <c r="F137" t="str">
        <f>INDEX('Harga Dasar'!$D$2:$D$29,MATCH(D137,'Harga Dasar'!$A$2:$A$29,0))</f>
        <v>m3</v>
      </c>
      <c r="G137" s="10">
        <v>0.024</v>
      </c>
      <c r="H137" s="11">
        <f>INDEX('Harga Dasar'!$E$2:$E$29,MATCH(D137,'Harga Dasar'!$A$2:$A$29,0))</f>
        <v>280000</v>
      </c>
      <c r="I137" s="11">
        <f>G137*H137</f>
        <v>6720</v>
      </c>
    </row>
    <row r="138" spans="4:9" x14ac:dyDescent="0.25">
      <c r="D138" s="9" t="s">
        <v>16</v>
      </c>
      <c r="E138" t="str">
        <f>INDEX('Harga Dasar'!$C$2:$C$29,MATCH(D138,'Harga Dasar'!$A$2:$A$29,0))</f>
        <v>Pekerja</v>
      </c>
      <c r="F138" t="str">
        <f>INDEX('Harga Dasar'!$D$2:$D$29,MATCH(D138,'Harga Dasar'!$A$2:$A$29,0))</f>
        <v>OH</v>
      </c>
      <c r="G138" s="10">
        <v>0.3</v>
      </c>
      <c r="H138" s="11">
        <f>INDEX('Harga Dasar'!$E$2:$E$29,MATCH(D138,'Harga Dasar'!$A$2:$A$29,0))</f>
        <v>120000</v>
      </c>
      <c r="I138" s="11">
        <f>G138*H138</f>
        <v>36000</v>
      </c>
    </row>
    <row r="139" spans="4:9" x14ac:dyDescent="0.25">
      <c r="D139" s="9" t="s">
        <v>20</v>
      </c>
      <c r="E139" t="str">
        <f>INDEX('Harga Dasar'!$C$2:$C$29,MATCH(D139,'Harga Dasar'!$A$2:$A$29,0))</f>
        <v>Tukang Batu</v>
      </c>
      <c r="F139" t="str">
        <f>INDEX('Harga Dasar'!$D$2:$D$29,MATCH(D139,'Harga Dasar'!$A$2:$A$29,0))</f>
        <v>OH</v>
      </c>
      <c r="G139" s="10">
        <v>0.15</v>
      </c>
      <c r="H139" s="11">
        <f>INDEX('Harga Dasar'!$E$2:$E$29,MATCH(D139,'Harga Dasar'!$A$2:$A$29,0))</f>
        <v>150000</v>
      </c>
      <c r="I139" s="11">
        <f>G139*H139</f>
        <v>22500</v>
      </c>
    </row>
    <row r="140" spans="4:9" x14ac:dyDescent="0.25">
      <c r="D140" s="9" t="s">
        <v>28</v>
      </c>
      <c r="E140" t="str">
        <f>INDEX('Harga Dasar'!$C$2:$C$29,MATCH(D140,'Harga Dasar'!$A$2:$A$29,0))</f>
        <v>Kepala Tukang</v>
      </c>
      <c r="F140" t="str">
        <f>INDEX('Harga Dasar'!$D$2:$D$29,MATCH(D140,'Harga Dasar'!$A$2:$A$29,0))</f>
        <v>OH</v>
      </c>
      <c r="G140" s="10">
        <v>0.015</v>
      </c>
      <c r="H140" s="11">
        <f>INDEX('Harga Dasar'!$E$2:$E$29,MATCH(D140,'Harga Dasar'!$A$2:$A$29,0))</f>
        <v>165000</v>
      </c>
      <c r="I140" s="11">
        <f>G140*H140</f>
        <v>2475</v>
      </c>
    </row>
    <row r="141" spans="4:9" x14ac:dyDescent="0.25">
      <c r="D141" s="9" t="s">
        <v>30</v>
      </c>
      <c r="E141" t="str">
        <f>INDEX('Harga Dasar'!$C$2:$C$29,MATCH(D141,'Harga Dasar'!$A$2:$A$29,0))</f>
        <v>Mandor</v>
      </c>
      <c r="F141" t="str">
        <f>INDEX('Harga Dasar'!$D$2:$D$29,MATCH(D141,'Harga Dasar'!$A$2:$A$29,0))</f>
        <v>OH</v>
      </c>
      <c r="G141" s="10">
        <v>0.015</v>
      </c>
      <c r="H141" s="11">
        <f>INDEX('Harga Dasar'!$E$2:$E$29,MATCH(D141,'Harga Dasar'!$A$2:$A$29,0))</f>
        <v>175000</v>
      </c>
      <c r="I141" s="11">
        <f>G141*H141</f>
        <v>2625</v>
      </c>
    </row>
    <row r="142" spans="5:9" s="8" customFormat="1" x14ac:dyDescent="0.25">
      <c r="E142" s="8" t="s">
        <v>90</v>
      </c>
      <c r="I142" s="12">
        <f>SUM(I136:I141)</f>
        <v>79056</v>
      </c>
    </row>
    <row r="143" spans="5:9" x14ac:dyDescent="0.25">
      <c r="E143" t="s">
        <v>91</v>
      </c>
      <c r="G143" s="13">
        <f>Pengaturan!$B$2</f>
        <v>0.1</v>
      </c>
      <c r="I143" s="11">
        <f>I142*G143</f>
        <v>7905.6</v>
      </c>
    </row>
    <row r="144" spans="1:9" s="8" customFormat="1" x14ac:dyDescent="0.25">
      <c r="A144" s="14"/>
      <c r="B144" s="14"/>
      <c r="C144" s="14"/>
      <c r="D144" s="14"/>
      <c r="E144" s="14" t="s">
        <v>116</v>
      </c>
      <c r="F144" s="14"/>
      <c r="G144" s="14"/>
      <c r="H144" s="14"/>
      <c r="I144" s="15">
        <f>I142+I143</f>
        <v>86961.6</v>
      </c>
    </row>
    <row r="146" spans="1:3" s="8" customFormat="1" x14ac:dyDescent="0.25">
      <c r="A146" s="8" t="s">
        <v>122</v>
      </c>
      <c r="B146" s="8" t="s">
        <v>123</v>
      </c>
      <c r="C146" s="8" t="s">
        <v>115</v>
      </c>
    </row>
    <row r="147" spans="4:9" x14ac:dyDescent="0.25">
      <c r="D147" s="9" t="s">
        <v>32</v>
      </c>
      <c r="E147" t="str">
        <f>INDEX('Harga Dasar'!$C$2:$C$29,MATCH(D147,'Harga Dasar'!$A$2:$A$29,0))</f>
        <v>Semen Portland (PC)</v>
      </c>
      <c r="F147" t="str">
        <f>INDEX('Harga Dasar'!$D$2:$D$29,MATCH(D147,'Harga Dasar'!$A$2:$A$29,0))</f>
        <v>kg</v>
      </c>
      <c r="G147" s="10">
        <v>3.25</v>
      </c>
      <c r="H147" s="11">
        <f>INDEX('Harga Dasar'!$E$2:$E$29,MATCH(D147,'Harga Dasar'!$A$2:$A$29,0))</f>
        <v>1400</v>
      </c>
      <c r="I147" s="11">
        <f>G147*H147</f>
        <v>4550</v>
      </c>
    </row>
    <row r="148" spans="4:9" x14ac:dyDescent="0.25">
      <c r="D148" s="9" t="s">
        <v>16</v>
      </c>
      <c r="E148" t="str">
        <f>INDEX('Harga Dasar'!$C$2:$C$29,MATCH(D148,'Harga Dasar'!$A$2:$A$29,0))</f>
        <v>Pekerja</v>
      </c>
      <c r="F148" t="str">
        <f>INDEX('Harga Dasar'!$D$2:$D$29,MATCH(D148,'Harga Dasar'!$A$2:$A$29,0))</f>
        <v>OH</v>
      </c>
      <c r="G148" s="10">
        <v>0.2</v>
      </c>
      <c r="H148" s="11">
        <f>INDEX('Harga Dasar'!$E$2:$E$29,MATCH(D148,'Harga Dasar'!$A$2:$A$29,0))</f>
        <v>120000</v>
      </c>
      <c r="I148" s="11">
        <f>G148*H148</f>
        <v>24000</v>
      </c>
    </row>
    <row r="149" spans="4:9" x14ac:dyDescent="0.25">
      <c r="D149" s="9" t="s">
        <v>20</v>
      </c>
      <c r="E149" t="str">
        <f>INDEX('Harga Dasar'!$C$2:$C$29,MATCH(D149,'Harga Dasar'!$A$2:$A$29,0))</f>
        <v>Tukang Batu</v>
      </c>
      <c r="F149" t="str">
        <f>INDEX('Harga Dasar'!$D$2:$D$29,MATCH(D149,'Harga Dasar'!$A$2:$A$29,0))</f>
        <v>OH</v>
      </c>
      <c r="G149" s="10">
        <v>0.1</v>
      </c>
      <c r="H149" s="11">
        <f>INDEX('Harga Dasar'!$E$2:$E$29,MATCH(D149,'Harga Dasar'!$A$2:$A$29,0))</f>
        <v>150000</v>
      </c>
      <c r="I149" s="11">
        <f>G149*H149</f>
        <v>15000</v>
      </c>
    </row>
    <row r="150" spans="4:9" x14ac:dyDescent="0.25">
      <c r="D150" s="9" t="s">
        <v>28</v>
      </c>
      <c r="E150" t="str">
        <f>INDEX('Harga Dasar'!$C$2:$C$29,MATCH(D150,'Harga Dasar'!$A$2:$A$29,0))</f>
        <v>Kepala Tukang</v>
      </c>
      <c r="F150" t="str">
        <f>INDEX('Harga Dasar'!$D$2:$D$29,MATCH(D150,'Harga Dasar'!$A$2:$A$29,0))</f>
        <v>OH</v>
      </c>
      <c r="G150" s="10">
        <v>0.01</v>
      </c>
      <c r="H150" s="11">
        <f>INDEX('Harga Dasar'!$E$2:$E$29,MATCH(D150,'Harga Dasar'!$A$2:$A$29,0))</f>
        <v>165000</v>
      </c>
      <c r="I150" s="11">
        <f>G150*H150</f>
        <v>1650</v>
      </c>
    </row>
    <row r="151" spans="4:9" x14ac:dyDescent="0.25">
      <c r="D151" s="9" t="s">
        <v>30</v>
      </c>
      <c r="E151" t="str">
        <f>INDEX('Harga Dasar'!$C$2:$C$29,MATCH(D151,'Harga Dasar'!$A$2:$A$29,0))</f>
        <v>Mandor</v>
      </c>
      <c r="F151" t="str">
        <f>INDEX('Harga Dasar'!$D$2:$D$29,MATCH(D151,'Harga Dasar'!$A$2:$A$29,0))</f>
        <v>OH</v>
      </c>
      <c r="G151" s="10">
        <v>0.01</v>
      </c>
      <c r="H151" s="11">
        <f>INDEX('Harga Dasar'!$E$2:$E$29,MATCH(D151,'Harga Dasar'!$A$2:$A$29,0))</f>
        <v>175000</v>
      </c>
      <c r="I151" s="11">
        <f>G151*H151</f>
        <v>1750</v>
      </c>
    </row>
    <row r="152" spans="5:9" s="8" customFormat="1" x14ac:dyDescent="0.25">
      <c r="E152" s="8" t="s">
        <v>90</v>
      </c>
      <c r="I152" s="12">
        <f>SUM(I147:I151)</f>
        <v>46950</v>
      </c>
    </row>
    <row r="153" spans="5:9" x14ac:dyDescent="0.25">
      <c r="E153" t="s">
        <v>91</v>
      </c>
      <c r="G153" s="13">
        <f>Pengaturan!$B$2</f>
        <v>0.1</v>
      </c>
      <c r="I153" s="11">
        <f>I152*G153</f>
        <v>4695</v>
      </c>
    </row>
    <row r="154" spans="1:9" s="8" customFormat="1" x14ac:dyDescent="0.25">
      <c r="A154" s="14"/>
      <c r="B154" s="14"/>
      <c r="C154" s="14"/>
      <c r="D154" s="14"/>
      <c r="E154" s="14" t="s">
        <v>116</v>
      </c>
      <c r="F154" s="14"/>
      <c r="G154" s="14"/>
      <c r="H154" s="14"/>
      <c r="I154" s="15">
        <f>I152+I153</f>
        <v>51645</v>
      </c>
    </row>
    <row r="156" spans="1:9" s="7" customFormat="1" x14ac:dyDescent="0.25">
      <c r="A156" s="7" t="s">
        <v>124</v>
      </c>
      <c r="B156" s="7"/>
      <c r="C156" s="7"/>
      <c r="D156" s="7"/>
      <c r="E156" s="7"/>
      <c r="F156" s="7"/>
      <c r="G156" s="7"/>
      <c r="H156" s="7"/>
      <c r="I156" s="7"/>
    </row>
    <row r="157" spans="1:3" s="8" customFormat="1" x14ac:dyDescent="0.25">
      <c r="A157" s="8" t="s">
        <v>125</v>
      </c>
      <c r="B157" s="8" t="s">
        <v>126</v>
      </c>
      <c r="C157" s="8" t="s">
        <v>115</v>
      </c>
    </row>
    <row r="158" spans="4:9" x14ac:dyDescent="0.25">
      <c r="D158" s="9" t="s">
        <v>71</v>
      </c>
      <c r="E158" t="str">
        <f>INDEX('Harga Dasar'!$C$2:$C$29,MATCH(D158,'Harga Dasar'!$A$2:$A$29,0))</f>
        <v>Plamir tembok</v>
      </c>
      <c r="F158" t="str">
        <f>INDEX('Harga Dasar'!$D$2:$D$29,MATCH(D158,'Harga Dasar'!$A$2:$A$29,0))</f>
        <v>kg</v>
      </c>
      <c r="G158" s="10">
        <v>0.1</v>
      </c>
      <c r="H158" s="11">
        <f>INDEX('Harga Dasar'!$E$2:$E$29,MATCH(D158,'Harga Dasar'!$A$2:$A$29,0))</f>
        <v>25000</v>
      </c>
      <c r="I158" s="11">
        <f>G158*H158</f>
        <v>2500</v>
      </c>
    </row>
    <row r="159" spans="4:9" x14ac:dyDescent="0.25">
      <c r="D159" s="9" t="s">
        <v>73</v>
      </c>
      <c r="E159" t="str">
        <f>INDEX('Harga Dasar'!$C$2:$C$29,MATCH(D159,'Harga Dasar'!$A$2:$A$29,0))</f>
        <v>Cat dasar (sealer)</v>
      </c>
      <c r="F159" t="str">
        <f>INDEX('Harga Dasar'!$D$2:$D$29,MATCH(D159,'Harga Dasar'!$A$2:$A$29,0))</f>
        <v>kg</v>
      </c>
      <c r="G159" s="10">
        <v>0.1</v>
      </c>
      <c r="H159" s="11">
        <f>INDEX('Harga Dasar'!$E$2:$E$29,MATCH(D159,'Harga Dasar'!$A$2:$A$29,0))</f>
        <v>35000</v>
      </c>
      <c r="I159" s="11">
        <f>G159*H159</f>
        <v>3500</v>
      </c>
    </row>
    <row r="160" spans="4:9" x14ac:dyDescent="0.25">
      <c r="D160" s="9" t="s">
        <v>75</v>
      </c>
      <c r="E160" t="str">
        <f>INDEX('Harga Dasar'!$C$2:$C$29,MATCH(D160,'Harga Dasar'!$A$2:$A$29,0))</f>
        <v>Cat tembok penutup</v>
      </c>
      <c r="F160" t="str">
        <f>INDEX('Harga Dasar'!$D$2:$D$29,MATCH(D160,'Harga Dasar'!$A$2:$A$29,0))</f>
        <v>kg</v>
      </c>
      <c r="G160" s="10">
        <v>0.26</v>
      </c>
      <c r="H160" s="11">
        <f>INDEX('Harga Dasar'!$E$2:$E$29,MATCH(D160,'Harga Dasar'!$A$2:$A$29,0))</f>
        <v>45000</v>
      </c>
      <c r="I160" s="11">
        <f>G160*H160</f>
        <v>11700</v>
      </c>
    </row>
    <row r="161" spans="4:9" x14ac:dyDescent="0.25">
      <c r="D161" s="9" t="s">
        <v>16</v>
      </c>
      <c r="E161" t="str">
        <f>INDEX('Harga Dasar'!$C$2:$C$29,MATCH(D161,'Harga Dasar'!$A$2:$A$29,0))</f>
        <v>Pekerja</v>
      </c>
      <c r="F161" t="str">
        <f>INDEX('Harga Dasar'!$D$2:$D$29,MATCH(D161,'Harga Dasar'!$A$2:$A$29,0))</f>
        <v>OH</v>
      </c>
      <c r="G161" s="10">
        <v>0.02</v>
      </c>
      <c r="H161" s="11">
        <f>INDEX('Harga Dasar'!$E$2:$E$29,MATCH(D161,'Harga Dasar'!$A$2:$A$29,0))</f>
        <v>120000</v>
      </c>
      <c r="I161" s="11">
        <f>G161*H161</f>
        <v>2400</v>
      </c>
    </row>
    <row r="162" spans="4:9" x14ac:dyDescent="0.25">
      <c r="D162" s="9" t="s">
        <v>26</v>
      </c>
      <c r="E162" t="str">
        <f>INDEX('Harga Dasar'!$C$2:$C$29,MATCH(D162,'Harga Dasar'!$A$2:$A$29,0))</f>
        <v>Tukang Cat</v>
      </c>
      <c r="F162" t="str">
        <f>INDEX('Harga Dasar'!$D$2:$D$29,MATCH(D162,'Harga Dasar'!$A$2:$A$29,0))</f>
        <v>OH</v>
      </c>
      <c r="G162" s="10">
        <v>0.063</v>
      </c>
      <c r="H162" s="11">
        <f>INDEX('Harga Dasar'!$E$2:$E$29,MATCH(D162,'Harga Dasar'!$A$2:$A$29,0))</f>
        <v>150000</v>
      </c>
      <c r="I162" s="11">
        <f>G162*H162</f>
        <v>9450</v>
      </c>
    </row>
    <row r="163" spans="4:9" x14ac:dyDescent="0.25">
      <c r="D163" s="9" t="s">
        <v>28</v>
      </c>
      <c r="E163" t="str">
        <f>INDEX('Harga Dasar'!$C$2:$C$29,MATCH(D163,'Harga Dasar'!$A$2:$A$29,0))</f>
        <v>Kepala Tukang</v>
      </c>
      <c r="F163" t="str">
        <f>INDEX('Harga Dasar'!$D$2:$D$29,MATCH(D163,'Harga Dasar'!$A$2:$A$29,0))</f>
        <v>OH</v>
      </c>
      <c r="G163" s="10">
        <v>0.006</v>
      </c>
      <c r="H163" s="11">
        <f>INDEX('Harga Dasar'!$E$2:$E$29,MATCH(D163,'Harga Dasar'!$A$2:$A$29,0))</f>
        <v>165000</v>
      </c>
      <c r="I163" s="11">
        <f>G163*H163</f>
        <v>990</v>
      </c>
    </row>
    <row r="164" spans="4:9" x14ac:dyDescent="0.25">
      <c r="D164" s="9" t="s">
        <v>30</v>
      </c>
      <c r="E164" t="str">
        <f>INDEX('Harga Dasar'!$C$2:$C$29,MATCH(D164,'Harga Dasar'!$A$2:$A$29,0))</f>
        <v>Mandor</v>
      </c>
      <c r="F164" t="str">
        <f>INDEX('Harga Dasar'!$D$2:$D$29,MATCH(D164,'Harga Dasar'!$A$2:$A$29,0))</f>
        <v>OH</v>
      </c>
      <c r="G164" s="10">
        <v>0.003</v>
      </c>
      <c r="H164" s="11">
        <f>INDEX('Harga Dasar'!$E$2:$E$29,MATCH(D164,'Harga Dasar'!$A$2:$A$29,0))</f>
        <v>175000</v>
      </c>
      <c r="I164" s="11">
        <f>G164*H164</f>
        <v>525</v>
      </c>
    </row>
    <row r="165" spans="5:9" s="8" customFormat="1" x14ac:dyDescent="0.25">
      <c r="E165" s="8" t="s">
        <v>90</v>
      </c>
      <c r="I165" s="12">
        <f>SUM(I158:I164)</f>
        <v>31065</v>
      </c>
    </row>
    <row r="166" spans="5:9" x14ac:dyDescent="0.25">
      <c r="E166" t="s">
        <v>91</v>
      </c>
      <c r="G166" s="13">
        <f>Pengaturan!$B$2</f>
        <v>0.1</v>
      </c>
      <c r="I166" s="11">
        <f>I165*G166</f>
        <v>3106.5</v>
      </c>
    </row>
    <row r="167" spans="1:9" s="8" customFormat="1" x14ac:dyDescent="0.25">
      <c r="A167" s="14"/>
      <c r="B167" s="14"/>
      <c r="C167" s="14"/>
      <c r="D167" s="14"/>
      <c r="E167" s="14" t="s">
        <v>116</v>
      </c>
      <c r="F167" s="14"/>
      <c r="G167" s="14"/>
      <c r="H167" s="14"/>
      <c r="I167" s="15">
        <f>I165+I166</f>
        <v>34171.5</v>
      </c>
    </row>
    <row r="169" spans="1:3" s="8" customFormat="1" x14ac:dyDescent="0.25">
      <c r="A169" s="8" t="s">
        <v>127</v>
      </c>
      <c r="B169" s="8" t="s">
        <v>128</v>
      </c>
      <c r="C169" s="8" t="s">
        <v>115</v>
      </c>
    </row>
    <row r="170" spans="4:9" x14ac:dyDescent="0.25">
      <c r="D170" s="9" t="s">
        <v>77</v>
      </c>
      <c r="E170" t="str">
        <f>INDEX('Harga Dasar'!$C$2:$C$29,MATCH(D170,'Harga Dasar'!$A$2:$A$29,0))</f>
        <v>Keramik 20x20</v>
      </c>
      <c r="F170" t="str">
        <f>INDEX('Harga Dasar'!$D$2:$D$29,MATCH(D170,'Harga Dasar'!$A$2:$A$29,0))</f>
        <v>bh</v>
      </c>
      <c r="G170" s="10">
        <v>11</v>
      </c>
      <c r="H170" s="11">
        <f>INDEX('Harga Dasar'!$E$2:$E$29,MATCH(D170,'Harga Dasar'!$A$2:$A$29,0))</f>
        <v>4000</v>
      </c>
      <c r="I170" s="11">
        <f>G170*H170</f>
        <v>44000</v>
      </c>
    </row>
    <row r="171" spans="4:9" x14ac:dyDescent="0.25">
      <c r="D171" s="9" t="s">
        <v>32</v>
      </c>
      <c r="E171" t="str">
        <f>INDEX('Harga Dasar'!$C$2:$C$29,MATCH(D171,'Harga Dasar'!$A$2:$A$29,0))</f>
        <v>Semen Portland (PC)</v>
      </c>
      <c r="F171" t="str">
        <f>INDEX('Harga Dasar'!$D$2:$D$29,MATCH(D171,'Harga Dasar'!$A$2:$A$29,0))</f>
        <v>kg</v>
      </c>
      <c r="G171" s="10">
        <v>10</v>
      </c>
      <c r="H171" s="11">
        <f>INDEX('Harga Dasar'!$E$2:$E$29,MATCH(D171,'Harga Dasar'!$A$2:$A$29,0))</f>
        <v>1400</v>
      </c>
      <c r="I171" s="11">
        <f>G171*H171</f>
        <v>14000</v>
      </c>
    </row>
    <row r="172" spans="4:9" x14ac:dyDescent="0.25">
      <c r="D172" s="9" t="s">
        <v>36</v>
      </c>
      <c r="E172" t="str">
        <f>INDEX('Harga Dasar'!$C$2:$C$29,MATCH(D172,'Harga Dasar'!$A$2:$A$29,0))</f>
        <v>Pasir pasang</v>
      </c>
      <c r="F172" t="str">
        <f>INDEX('Harga Dasar'!$D$2:$D$29,MATCH(D172,'Harga Dasar'!$A$2:$A$29,0))</f>
        <v>m3</v>
      </c>
      <c r="G172" s="10">
        <v>0.045</v>
      </c>
      <c r="H172" s="11">
        <f>INDEX('Harga Dasar'!$E$2:$E$29,MATCH(D172,'Harga Dasar'!$A$2:$A$29,0))</f>
        <v>280000</v>
      </c>
      <c r="I172" s="11">
        <f>G172*H172</f>
        <v>12600</v>
      </c>
    </row>
    <row r="173" spans="4:9" x14ac:dyDescent="0.25">
      <c r="D173" s="9" t="s">
        <v>79</v>
      </c>
      <c r="E173" t="str">
        <f>INDEX('Harga Dasar'!$C$2:$C$29,MATCH(D173,'Harga Dasar'!$A$2:$A$29,0))</f>
        <v>Semen warna (nat)</v>
      </c>
      <c r="F173" t="str">
        <f>INDEX('Harga Dasar'!$D$2:$D$29,MATCH(D173,'Harga Dasar'!$A$2:$A$29,0))</f>
        <v>kg</v>
      </c>
      <c r="G173" s="10">
        <v>1.5</v>
      </c>
      <c r="H173" s="11">
        <f>INDEX('Harga Dasar'!$E$2:$E$29,MATCH(D173,'Harga Dasar'!$A$2:$A$29,0))</f>
        <v>12000</v>
      </c>
      <c r="I173" s="11">
        <f>G173*H173</f>
        <v>18000</v>
      </c>
    </row>
    <row r="174" spans="4:9" x14ac:dyDescent="0.25">
      <c r="D174" s="9" t="s">
        <v>16</v>
      </c>
      <c r="E174" t="str">
        <f>INDEX('Harga Dasar'!$C$2:$C$29,MATCH(D174,'Harga Dasar'!$A$2:$A$29,0))</f>
        <v>Pekerja</v>
      </c>
      <c r="F174" t="str">
        <f>INDEX('Harga Dasar'!$D$2:$D$29,MATCH(D174,'Harga Dasar'!$A$2:$A$29,0))</f>
        <v>OH</v>
      </c>
      <c r="G174" s="10">
        <v>0.7</v>
      </c>
      <c r="H174" s="11">
        <f>INDEX('Harga Dasar'!$E$2:$E$29,MATCH(D174,'Harga Dasar'!$A$2:$A$29,0))</f>
        <v>120000</v>
      </c>
      <c r="I174" s="11">
        <f>G174*H174</f>
        <v>84000</v>
      </c>
    </row>
    <row r="175" spans="4:9" x14ac:dyDescent="0.25">
      <c r="D175" s="9" t="s">
        <v>20</v>
      </c>
      <c r="E175" t="str">
        <f>INDEX('Harga Dasar'!$C$2:$C$29,MATCH(D175,'Harga Dasar'!$A$2:$A$29,0))</f>
        <v>Tukang Batu</v>
      </c>
      <c r="F175" t="str">
        <f>INDEX('Harga Dasar'!$D$2:$D$29,MATCH(D175,'Harga Dasar'!$A$2:$A$29,0))</f>
        <v>OH</v>
      </c>
      <c r="G175" s="10">
        <v>0.35</v>
      </c>
      <c r="H175" s="11">
        <f>INDEX('Harga Dasar'!$E$2:$E$29,MATCH(D175,'Harga Dasar'!$A$2:$A$29,0))</f>
        <v>150000</v>
      </c>
      <c r="I175" s="11">
        <f>G175*H175</f>
        <v>52500</v>
      </c>
    </row>
    <row r="176" spans="4:9" x14ac:dyDescent="0.25">
      <c r="D176" s="9" t="s">
        <v>28</v>
      </c>
      <c r="E176" t="str">
        <f>INDEX('Harga Dasar'!$C$2:$C$29,MATCH(D176,'Harga Dasar'!$A$2:$A$29,0))</f>
        <v>Kepala Tukang</v>
      </c>
      <c r="F176" t="str">
        <f>INDEX('Harga Dasar'!$D$2:$D$29,MATCH(D176,'Harga Dasar'!$A$2:$A$29,0))</f>
        <v>OH</v>
      </c>
      <c r="G176" s="10">
        <v>0.035</v>
      </c>
      <c r="H176" s="11">
        <f>INDEX('Harga Dasar'!$E$2:$E$29,MATCH(D176,'Harga Dasar'!$A$2:$A$29,0))</f>
        <v>165000</v>
      </c>
      <c r="I176" s="11">
        <f>G176*H176</f>
        <v>5775.000000000001</v>
      </c>
    </row>
    <row r="177" spans="4:9" x14ac:dyDescent="0.25">
      <c r="D177" s="9" t="s">
        <v>30</v>
      </c>
      <c r="E177" t="str">
        <f>INDEX('Harga Dasar'!$C$2:$C$29,MATCH(D177,'Harga Dasar'!$A$2:$A$29,0))</f>
        <v>Mandor</v>
      </c>
      <c r="F177" t="str">
        <f>INDEX('Harga Dasar'!$D$2:$D$29,MATCH(D177,'Harga Dasar'!$A$2:$A$29,0))</f>
        <v>OH</v>
      </c>
      <c r="G177" s="10">
        <v>0.035</v>
      </c>
      <c r="H177" s="11">
        <f>INDEX('Harga Dasar'!$E$2:$E$29,MATCH(D177,'Harga Dasar'!$A$2:$A$29,0))</f>
        <v>175000</v>
      </c>
      <c r="I177" s="11">
        <f>G177*H177</f>
        <v>6125.000000000001</v>
      </c>
    </row>
    <row r="178" spans="5:9" s="8" customFormat="1" x14ac:dyDescent="0.25">
      <c r="E178" s="8" t="s">
        <v>90</v>
      </c>
      <c r="I178" s="12">
        <f>SUM(I170:I177)</f>
        <v>237000</v>
      </c>
    </row>
    <row r="179" spans="5:9" x14ac:dyDescent="0.25">
      <c r="E179" t="s">
        <v>91</v>
      </c>
      <c r="G179" s="13">
        <f>Pengaturan!$B$2</f>
        <v>0.1</v>
      </c>
      <c r="I179" s="11">
        <f>I178*G179</f>
        <v>23700</v>
      </c>
    </row>
    <row r="180" spans="1:9" s="8" customFormat="1" x14ac:dyDescent="0.25">
      <c r="A180" s="14"/>
      <c r="B180" s="14"/>
      <c r="C180" s="14"/>
      <c r="D180" s="14"/>
      <c r="E180" s="14" t="s">
        <v>116</v>
      </c>
      <c r="F180" s="14"/>
      <c r="G180" s="14"/>
      <c r="H180" s="14"/>
      <c r="I180" s="15">
        <f>I178+I179</f>
        <v>260700</v>
      </c>
    </row>
  </sheetData>
  <mergeCells count="5">
    <mergeCell ref="A2:I2"/>
    <mergeCell ref="A18:I18"/>
    <mergeCell ref="A43:I43"/>
    <mergeCell ref="A122:I122"/>
    <mergeCell ref="A156:I1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52" customWidth="1"/>
    <col min="5" max="8" width="15" customWidth="1"/>
    <col min="9" max="9" width="12" customWidth="1"/>
  </cols>
  <sheetData>
    <row r="1" spans="1:9" x14ac:dyDescent="0.25">
      <c r="A1" s="5" t="s">
        <v>11</v>
      </c>
      <c r="B1" s="5" t="s">
        <v>129</v>
      </c>
      <c r="C1" s="5" t="s">
        <v>81</v>
      </c>
      <c r="D1" s="5" t="s">
        <v>14</v>
      </c>
      <c r="E1" s="5" t="s">
        <v>130</v>
      </c>
      <c r="F1" s="5" t="s">
        <v>131</v>
      </c>
      <c r="G1" s="5" t="s">
        <v>132</v>
      </c>
      <c r="H1" s="5" t="s">
        <v>15</v>
      </c>
      <c r="I1" s="5" t="s">
        <v>133</v>
      </c>
    </row>
    <row r="2" spans="1:9" x14ac:dyDescent="0.25">
      <c r="A2" t="s">
        <v>88</v>
      </c>
      <c r="B2" t="s">
        <v>87</v>
      </c>
      <c r="C2" t="s">
        <v>89</v>
      </c>
      <c r="D2" t="s">
        <v>38</v>
      </c>
      <c r="E2" s="11">
        <f>SUMPRODUCT((LEFT(AHSP!$D$4:$D$5,1)="M")*AHSP!$I$4:$I$5)</f>
        <v>0</v>
      </c>
      <c r="F2" s="11">
        <f>SUMPRODUCT((LEFT(AHSP!$D$4:$D$5,1)="L")*AHSP!$I$4:$I$5)</f>
        <v>94375</v>
      </c>
      <c r="G2" s="11">
        <f>AHSP!I7</f>
        <v>9437.5</v>
      </c>
      <c r="H2" s="12">
        <f>AHSP!I8</f>
        <v>103812.5</v>
      </c>
      <c r="I2" t="s">
        <v>134</v>
      </c>
    </row>
    <row r="3" spans="1:9" x14ac:dyDescent="0.25">
      <c r="A3" t="s">
        <v>93</v>
      </c>
      <c r="B3" t="s">
        <v>87</v>
      </c>
      <c r="C3" t="s">
        <v>94</v>
      </c>
      <c r="D3" t="s">
        <v>38</v>
      </c>
      <c r="E3" s="11">
        <f>SUMPRODUCT((LEFT(AHSP!$D$11:$D$13,1)="M")*AHSP!$I$11:$I$13)</f>
        <v>264000</v>
      </c>
      <c r="F3" s="11">
        <f>SUMPRODUCT((LEFT(AHSP!$D$11:$D$13,1)="L")*AHSP!$I$11:$I$13)</f>
        <v>37750</v>
      </c>
      <c r="G3" s="11">
        <f>AHSP!I15</f>
        <v>30175</v>
      </c>
      <c r="H3" s="12">
        <f>AHSP!I16</f>
        <v>331925</v>
      </c>
      <c r="I3" t="s">
        <v>134</v>
      </c>
    </row>
    <row r="4" spans="1:9" x14ac:dyDescent="0.25">
      <c r="A4" t="s">
        <v>96</v>
      </c>
      <c r="B4" t="s">
        <v>95</v>
      </c>
      <c r="C4" t="s">
        <v>97</v>
      </c>
      <c r="D4" t="s">
        <v>38</v>
      </c>
      <c r="E4" s="11">
        <f>SUMPRODUCT((LEFT(AHSP!$D$20:$D$26,1)="M")*AHSP!$I$20:$I$26)</f>
        <v>733800</v>
      </c>
      <c r="F4" s="11">
        <f>SUMPRODUCT((LEFT(AHSP!$D$20:$D$26,1)="L")*AHSP!$I$20:$I$26)</f>
        <v>318000</v>
      </c>
      <c r="G4" s="11">
        <f>AHSP!I28</f>
        <v>105180</v>
      </c>
      <c r="H4" s="12">
        <f>AHSP!I29</f>
        <v>1156980</v>
      </c>
      <c r="I4" t="s">
        <v>134</v>
      </c>
    </row>
    <row r="5" spans="1:9" x14ac:dyDescent="0.25">
      <c r="A5" t="s">
        <v>98</v>
      </c>
      <c r="B5" t="s">
        <v>95</v>
      </c>
      <c r="C5" t="s">
        <v>99</v>
      </c>
      <c r="D5" t="s">
        <v>38</v>
      </c>
      <c r="E5" s="11">
        <f>SUMPRODUCT((LEFT(AHSP!$D$32:$D$38,1)="M")*AHSP!$I$32:$I$38)</f>
        <v>778600</v>
      </c>
      <c r="F5" s="11">
        <f>SUMPRODUCT((LEFT(AHSP!$D$32:$D$38,1)="L")*AHSP!$I$32:$I$38)</f>
        <v>318000</v>
      </c>
      <c r="G5" s="11">
        <f>AHSP!I40</f>
        <v>109660</v>
      </c>
      <c r="H5" s="12">
        <f>AHSP!I41</f>
        <v>1206260</v>
      </c>
      <c r="I5" t="s">
        <v>134</v>
      </c>
    </row>
    <row r="6" spans="1:9" x14ac:dyDescent="0.25">
      <c r="A6" t="s">
        <v>101</v>
      </c>
      <c r="B6" t="s">
        <v>100</v>
      </c>
      <c r="C6" t="s">
        <v>102</v>
      </c>
      <c r="D6" t="s">
        <v>38</v>
      </c>
      <c r="E6" s="11">
        <f>SUMPRODUCT((LEFT(AHSP!$D$45:$D$52,1)="M")*AHSP!$I$45:$I$52)</f>
        <v>861810</v>
      </c>
      <c r="F6" s="11">
        <f>SUMPRODUCT((LEFT(AHSP!$D$45:$D$52,1)="L")*AHSP!$I$45:$I$52)</f>
        <v>258395</v>
      </c>
      <c r="G6" s="11">
        <f>AHSP!I54</f>
        <v>112020.5</v>
      </c>
      <c r="H6" s="12">
        <f>AHSP!I55</f>
        <v>1232225.5</v>
      </c>
      <c r="I6" t="s">
        <v>134</v>
      </c>
    </row>
    <row r="7" spans="1:9" x14ac:dyDescent="0.25">
      <c r="A7" t="s">
        <v>103</v>
      </c>
      <c r="B7" t="s">
        <v>100</v>
      </c>
      <c r="C7" t="s">
        <v>104</v>
      </c>
      <c r="D7" t="s">
        <v>38</v>
      </c>
      <c r="E7" s="11">
        <f>SUMPRODUCT((LEFT(AHSP!$D$58:$D$65,1)="M")*AHSP!$I$58:$I$65)</f>
        <v>916730</v>
      </c>
      <c r="F7" s="11">
        <f>SUMPRODUCT((LEFT(AHSP!$D$58:$D$65,1)="L")*AHSP!$I$58:$I$65)</f>
        <v>258395</v>
      </c>
      <c r="G7" s="11">
        <f>AHSP!I67</f>
        <v>117512.5</v>
      </c>
      <c r="H7" s="12">
        <f>AHSP!I68</f>
        <v>1292637.5</v>
      </c>
      <c r="I7" t="s">
        <v>134</v>
      </c>
    </row>
    <row r="8" spans="1:9" x14ac:dyDescent="0.25">
      <c r="A8" t="s">
        <v>105</v>
      </c>
      <c r="B8" t="s">
        <v>100</v>
      </c>
      <c r="C8" t="s">
        <v>106</v>
      </c>
      <c r="D8" t="s">
        <v>38</v>
      </c>
      <c r="E8" s="11">
        <f>SUMPRODUCT((LEFT(AHSP!$D$71:$D$78,1)="M")*AHSP!$I$71:$I$78)</f>
        <v>931810</v>
      </c>
      <c r="F8" s="11">
        <f>SUMPRODUCT((LEFT(AHSP!$D$71:$D$78,1)="L")*AHSP!$I$71:$I$78)</f>
        <v>258395</v>
      </c>
      <c r="G8" s="11">
        <f>AHSP!I80</f>
        <v>119020.5</v>
      </c>
      <c r="H8" s="12">
        <f>AHSP!I81</f>
        <v>1309225.5</v>
      </c>
      <c r="I8" t="s">
        <v>134</v>
      </c>
    </row>
    <row r="9" spans="1:9" x14ac:dyDescent="0.25">
      <c r="A9" t="s">
        <v>107</v>
      </c>
      <c r="B9" t="s">
        <v>100</v>
      </c>
      <c r="C9" t="s">
        <v>108</v>
      </c>
      <c r="D9" t="s">
        <v>38</v>
      </c>
      <c r="E9" s="11">
        <f>SUMPRODUCT((LEFT(AHSP!$D$84:$D$91,1)="M")*AHSP!$I$84:$I$91)</f>
        <v>965890</v>
      </c>
      <c r="F9" s="11">
        <f>SUMPRODUCT((LEFT(AHSP!$D$84:$D$91,1)="L")*AHSP!$I$84:$I$91)</f>
        <v>258395</v>
      </c>
      <c r="G9" s="11">
        <f>AHSP!I93</f>
        <v>122428.5</v>
      </c>
      <c r="H9" s="12">
        <f>AHSP!I94</f>
        <v>1346713.5</v>
      </c>
      <c r="I9" t="s">
        <v>134</v>
      </c>
    </row>
    <row r="10" spans="1:9" x14ac:dyDescent="0.25">
      <c r="A10" t="s">
        <v>109</v>
      </c>
      <c r="B10" t="s">
        <v>100</v>
      </c>
      <c r="C10" t="s">
        <v>110</v>
      </c>
      <c r="D10" t="s">
        <v>111</v>
      </c>
      <c r="E10" s="11">
        <f>SUMPRODUCT((LEFT(AHSP!$D$97:$D$102,1)="M")*AHSP!$I$97:$I$102)</f>
        <v>155550</v>
      </c>
      <c r="F10" s="11">
        <f>SUMPRODUCT((LEFT(AHSP!$D$97:$D$102,1)="L")*AHSP!$I$97:$I$102)</f>
        <v>20755</v>
      </c>
      <c r="G10" s="11">
        <f>AHSP!I104</f>
        <v>17630.5</v>
      </c>
      <c r="H10" s="12">
        <f>AHSP!I105</f>
        <v>193935.5</v>
      </c>
      <c r="I10" t="s">
        <v>134</v>
      </c>
    </row>
    <row r="11" spans="1:9" x14ac:dyDescent="0.25">
      <c r="A11" t="s">
        <v>113</v>
      </c>
      <c r="B11" t="s">
        <v>100</v>
      </c>
      <c r="C11" t="s">
        <v>114</v>
      </c>
      <c r="D11" t="s">
        <v>115</v>
      </c>
      <c r="E11" s="11">
        <f>SUMPRODUCT((LEFT(AHSP!$D$108:$D$117,1)="M")*AHSP!$I$108:$I$117)</f>
        <v>303000</v>
      </c>
      <c r="F11" s="11">
        <f>SUMPRODUCT((LEFT(AHSP!$D$108:$D$117,1)="L")*AHSP!$I$108:$I$117)</f>
        <v>110240</v>
      </c>
      <c r="G11" s="11">
        <f>AHSP!I119</f>
        <v>41324</v>
      </c>
      <c r="H11" s="12">
        <f>AHSP!I120</f>
        <v>454564</v>
      </c>
      <c r="I11" s="3" t="s">
        <v>135</v>
      </c>
    </row>
    <row r="12" spans="1:9" x14ac:dyDescent="0.25">
      <c r="A12" t="s">
        <v>118</v>
      </c>
      <c r="B12" t="s">
        <v>117</v>
      </c>
      <c r="C12" t="s">
        <v>119</v>
      </c>
      <c r="D12" t="s">
        <v>115</v>
      </c>
      <c r="E12" s="11">
        <f>SUMPRODUCT((LEFT(AHSP!$D$124:$D$130,1)="M")*AHSP!$I$124:$I$130)</f>
        <v>91140</v>
      </c>
      <c r="F12" s="11">
        <f>SUMPRODUCT((LEFT(AHSP!$D$124:$D$130,1)="L")*AHSP!$I$124:$I$130)</f>
        <v>55275</v>
      </c>
      <c r="G12" s="11">
        <f>AHSP!I132</f>
        <v>14641.5</v>
      </c>
      <c r="H12" s="12">
        <f>AHSP!I133</f>
        <v>161056.5</v>
      </c>
      <c r="I12" t="s">
        <v>134</v>
      </c>
    </row>
    <row r="13" spans="1:9" x14ac:dyDescent="0.25">
      <c r="A13" t="s">
        <v>120</v>
      </c>
      <c r="B13" t="s">
        <v>117</v>
      </c>
      <c r="C13" t="s">
        <v>121</v>
      </c>
      <c r="D13" t="s">
        <v>115</v>
      </c>
      <c r="E13" s="11">
        <f>SUMPRODUCT((LEFT(AHSP!$D$136:$D$141,1)="M")*AHSP!$I$136:$I$141)</f>
        <v>15456</v>
      </c>
      <c r="F13" s="11">
        <f>SUMPRODUCT((LEFT(AHSP!$D$136:$D$141,1)="L")*AHSP!$I$136:$I$141)</f>
        <v>63600</v>
      </c>
      <c r="G13" s="11">
        <f>AHSP!I143</f>
        <v>7905.6</v>
      </c>
      <c r="H13" s="12">
        <f>AHSP!I144</f>
        <v>86961.6</v>
      </c>
      <c r="I13" t="s">
        <v>134</v>
      </c>
    </row>
    <row r="14" spans="1:9" x14ac:dyDescent="0.25">
      <c r="A14" t="s">
        <v>122</v>
      </c>
      <c r="B14" t="s">
        <v>117</v>
      </c>
      <c r="C14" t="s">
        <v>123</v>
      </c>
      <c r="D14" t="s">
        <v>115</v>
      </c>
      <c r="E14" s="11">
        <f>SUMPRODUCT((LEFT(AHSP!$D$147:$D$151,1)="M")*AHSP!$I$147:$I$151)</f>
        <v>4550</v>
      </c>
      <c r="F14" s="11">
        <f>SUMPRODUCT((LEFT(AHSP!$D$147:$D$151,1)="L")*AHSP!$I$147:$I$151)</f>
        <v>42400</v>
      </c>
      <c r="G14" s="11">
        <f>AHSP!I153</f>
        <v>4695</v>
      </c>
      <c r="H14" s="12">
        <f>AHSP!I154</f>
        <v>51645</v>
      </c>
      <c r="I14" t="s">
        <v>134</v>
      </c>
    </row>
    <row r="15" spans="1:9" x14ac:dyDescent="0.25">
      <c r="A15" t="s">
        <v>125</v>
      </c>
      <c r="B15" t="s">
        <v>124</v>
      </c>
      <c r="C15" t="s">
        <v>126</v>
      </c>
      <c r="D15" t="s">
        <v>115</v>
      </c>
      <c r="E15" s="11">
        <f>SUMPRODUCT((LEFT(AHSP!$D$158:$D$164,1)="M")*AHSP!$I$158:$I$164)</f>
        <v>17700</v>
      </c>
      <c r="F15" s="11">
        <f>SUMPRODUCT((LEFT(AHSP!$D$158:$D$164,1)="L")*AHSP!$I$158:$I$164)</f>
        <v>13365</v>
      </c>
      <c r="G15" s="11">
        <f>AHSP!I166</f>
        <v>3106.5</v>
      </c>
      <c r="H15" s="12">
        <f>AHSP!I167</f>
        <v>34171.5</v>
      </c>
      <c r="I15" s="3" t="s">
        <v>135</v>
      </c>
    </row>
    <row r="16" spans="1:9" x14ac:dyDescent="0.25">
      <c r="A16" t="s">
        <v>127</v>
      </c>
      <c r="B16" t="s">
        <v>124</v>
      </c>
      <c r="C16" t="s">
        <v>128</v>
      </c>
      <c r="D16" t="s">
        <v>115</v>
      </c>
      <c r="E16" s="11">
        <f>SUMPRODUCT((LEFT(AHSP!$D$170:$D$177,1)="M")*AHSP!$I$170:$I$177)</f>
        <v>88600</v>
      </c>
      <c r="F16" s="11">
        <f>SUMPRODUCT((LEFT(AHSP!$D$170:$D$177,1)="L")*AHSP!$I$170:$I$177)</f>
        <v>148400</v>
      </c>
      <c r="G16" s="11">
        <f>AHSP!I179</f>
        <v>23700</v>
      </c>
      <c r="H16" s="12">
        <f>AHSP!I180</f>
        <v>260700</v>
      </c>
      <c r="I16" s="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Pengaturan</vt:lpstr>
      <vt:lpstr>Harga Dasar</vt:lpstr>
      <vt:lpstr>AHSP</vt:lpstr>
      <vt:lpstr>Rekap HSP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Boosok Tools</dc:creator>
  <dc:title/>
  <dc:subject/>
  <dc:description/>
  <cp:keywords/>
  <cp:category/>
  <cp:lastModifiedBy>Unknown</cp:lastModifiedBy>
  <dcterms:created xsi:type="dcterms:W3CDTF">2026-10-08T18:34:08Z</dcterms:created>
  <dcterms:modified xsi:type="dcterms:W3CDTF">2026-10-08T18:34:08Z</dcterms:modified>
</cp:coreProperties>
</file>